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4000" windowHeight="9630"/>
  </bookViews>
  <sheets>
    <sheet name="excel - 2025-12-15T143346.611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1" l="1"/>
  <c r="Y41" i="1"/>
  <c r="Z41" i="1" s="1"/>
  <c r="AA41" i="1" s="1"/>
  <c r="K42" i="1"/>
  <c r="Y42" i="1"/>
  <c r="Z42" i="1"/>
  <c r="AA42" i="1"/>
  <c r="K43" i="1"/>
  <c r="Y43" i="1"/>
  <c r="Z43" i="1"/>
  <c r="AA43" i="1"/>
  <c r="K44" i="1"/>
  <c r="Y44" i="1"/>
  <c r="Z44" i="1"/>
  <c r="AA44" i="1"/>
  <c r="K45" i="1"/>
  <c r="Y45" i="1"/>
  <c r="Z45" i="1"/>
  <c r="AA45" i="1"/>
  <c r="K46" i="1"/>
  <c r="Y46" i="1"/>
  <c r="Z46" i="1"/>
  <c r="AA46" i="1"/>
  <c r="K47" i="1"/>
  <c r="Y47" i="1"/>
  <c r="Z47" i="1"/>
  <c r="AA47" i="1"/>
  <c r="K48" i="1"/>
  <c r="Y48" i="1"/>
  <c r="Z48" i="1"/>
  <c r="AA48" i="1"/>
  <c r="K49" i="1"/>
  <c r="Y49" i="1"/>
  <c r="Z49" i="1"/>
  <c r="AA49" i="1"/>
  <c r="K50" i="1"/>
  <c r="Y50" i="1"/>
  <c r="Z50" i="1"/>
  <c r="AA50" i="1"/>
  <c r="K51" i="1"/>
  <c r="Y51" i="1"/>
  <c r="Z51" i="1"/>
  <c r="AA51" i="1"/>
  <c r="K52" i="1"/>
  <c r="Y52" i="1"/>
  <c r="Z52" i="1"/>
  <c r="AA52" i="1"/>
  <c r="K53" i="1"/>
  <c r="Y53" i="1"/>
  <c r="Z53" i="1"/>
  <c r="AA53" i="1"/>
  <c r="K54" i="1"/>
  <c r="Y54" i="1"/>
  <c r="Z54" i="1"/>
  <c r="AA54" i="1"/>
  <c r="K55" i="1"/>
  <c r="Y55" i="1"/>
  <c r="Z55" i="1"/>
  <c r="AA55" i="1"/>
  <c r="K56" i="1"/>
  <c r="Y56" i="1"/>
  <c r="Z56" i="1"/>
  <c r="AA56" i="1"/>
  <c r="K57" i="1"/>
  <c r="Y57" i="1"/>
  <c r="Z57" i="1"/>
  <c r="AA57" i="1"/>
  <c r="K58" i="1"/>
  <c r="Y58" i="1"/>
  <c r="Z58" i="1"/>
  <c r="AA58" i="1"/>
  <c r="K59" i="1"/>
  <c r="Y59" i="1"/>
  <c r="Z59" i="1"/>
  <c r="AA59" i="1"/>
  <c r="K60" i="1"/>
  <c r="Y60" i="1"/>
  <c r="Z60" i="1"/>
  <c r="AA60" i="1"/>
  <c r="K61" i="1"/>
  <c r="Y61" i="1"/>
  <c r="Z61" i="1"/>
  <c r="AA61" i="1"/>
  <c r="K62" i="1"/>
  <c r="Y62" i="1"/>
  <c r="Z62" i="1"/>
  <c r="AA62" i="1"/>
  <c r="K63" i="1"/>
  <c r="Y63" i="1"/>
  <c r="Z63" i="1"/>
  <c r="AA63" i="1"/>
  <c r="K64" i="1"/>
  <c r="Y64" i="1"/>
  <c r="Z64" i="1"/>
  <c r="AA64" i="1"/>
  <c r="K65" i="1"/>
  <c r="Y65" i="1"/>
  <c r="Z65" i="1"/>
  <c r="AA65" i="1"/>
  <c r="K66" i="1"/>
  <c r="Y66" i="1"/>
  <c r="Z66" i="1"/>
  <c r="AA66" i="1"/>
  <c r="K67" i="1"/>
  <c r="Y67" i="1"/>
  <c r="Z67" i="1"/>
  <c r="AA67" i="1"/>
  <c r="K68" i="1"/>
  <c r="Y68" i="1"/>
  <c r="Z68" i="1"/>
  <c r="AA68" i="1"/>
  <c r="K69" i="1"/>
  <c r="Y69" i="1"/>
  <c r="Z69" i="1"/>
  <c r="AA69" i="1"/>
  <c r="K70" i="1"/>
  <c r="Y70" i="1"/>
  <c r="Z70" i="1"/>
  <c r="AA70" i="1"/>
  <c r="K71" i="1"/>
  <c r="Y71" i="1"/>
  <c r="Z71" i="1"/>
  <c r="AA71" i="1"/>
  <c r="K72" i="1"/>
  <c r="Y72" i="1"/>
  <c r="Z72" i="1"/>
  <c r="AA72" i="1"/>
  <c r="K73" i="1"/>
  <c r="Y73" i="1"/>
  <c r="Z73" i="1"/>
  <c r="AA73" i="1"/>
  <c r="K74" i="1"/>
  <c r="Y74" i="1"/>
  <c r="Z74" i="1"/>
  <c r="AA74" i="1"/>
  <c r="K75" i="1"/>
  <c r="Y75" i="1"/>
  <c r="Z75" i="1"/>
  <c r="AA75" i="1"/>
  <c r="K76" i="1"/>
  <c r="Y76" i="1"/>
  <c r="Z76" i="1"/>
  <c r="AA76" i="1"/>
  <c r="K77" i="1"/>
  <c r="Y77" i="1"/>
  <c r="Z77" i="1"/>
  <c r="AA77" i="1"/>
  <c r="K78" i="1"/>
  <c r="Y78" i="1"/>
  <c r="Z78" i="1"/>
  <c r="AA78" i="1"/>
  <c r="K79" i="1"/>
  <c r="Y79" i="1"/>
  <c r="Z79" i="1"/>
  <c r="AA79" i="1"/>
  <c r="K80" i="1"/>
  <c r="Y80" i="1"/>
  <c r="Z80" i="1"/>
  <c r="AA80" i="1"/>
  <c r="K81" i="1"/>
  <c r="Y81" i="1"/>
  <c r="Z81" i="1"/>
  <c r="AA81" i="1"/>
  <c r="K82" i="1"/>
  <c r="Y82" i="1"/>
  <c r="Z82" i="1"/>
  <c r="AA82" i="1"/>
  <c r="K83" i="1"/>
  <c r="Y83" i="1"/>
  <c r="Z83" i="1"/>
  <c r="AA83" i="1"/>
  <c r="K84" i="1"/>
  <c r="Y84" i="1"/>
  <c r="Z84" i="1"/>
  <c r="AA84" i="1"/>
  <c r="K85" i="1"/>
  <c r="Y85" i="1"/>
  <c r="Z85" i="1"/>
  <c r="AA85" i="1"/>
  <c r="J86" i="1"/>
  <c r="K86" i="1" s="1"/>
  <c r="Y86" i="1"/>
  <c r="Z86" i="1"/>
  <c r="AA86" i="1"/>
  <c r="J87" i="1"/>
  <c r="K87" i="1"/>
  <c r="Y87" i="1"/>
  <c r="Z87" i="1"/>
  <c r="AA87" i="1"/>
  <c r="J88" i="1"/>
  <c r="K88" i="1"/>
  <c r="Y88" i="1"/>
  <c r="Z88" i="1"/>
  <c r="AA88" i="1"/>
  <c r="K89" i="1"/>
  <c r="M89" i="1"/>
  <c r="N89" i="1"/>
  <c r="Y89" i="1"/>
  <c r="Z89" i="1"/>
  <c r="AA89" i="1" s="1"/>
  <c r="K90" i="1"/>
  <c r="M90" i="1"/>
  <c r="N90" i="1"/>
  <c r="O90" i="1"/>
  <c r="P90" i="1"/>
  <c r="Q90" i="1"/>
  <c r="R90" i="1"/>
  <c r="S90" i="1"/>
  <c r="Y90" i="1"/>
  <c r="Z90" i="1"/>
  <c r="AA90" i="1"/>
  <c r="K91" i="1"/>
  <c r="M91" i="1"/>
  <c r="N91" i="1"/>
  <c r="O91" i="1"/>
  <c r="P91" i="1"/>
  <c r="Q91" i="1"/>
  <c r="R91" i="1"/>
  <c r="Y91" i="1"/>
  <c r="Z91" i="1" s="1"/>
  <c r="AA91" i="1" s="1"/>
  <c r="M388" i="1" l="1"/>
  <c r="K337" i="1" l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3" i="1"/>
  <c r="K212" i="1"/>
  <c r="K211" i="1"/>
  <c r="M211" i="1" s="1"/>
  <c r="K210" i="1"/>
  <c r="M210" i="1" s="1"/>
  <c r="K209" i="1"/>
  <c r="K208" i="1"/>
  <c r="K207" i="1"/>
  <c r="K206" i="1"/>
  <c r="K205" i="1"/>
  <c r="K204" i="1"/>
  <c r="K203" i="1"/>
  <c r="K202" i="1"/>
  <c r="K201" i="1"/>
  <c r="K200" i="1"/>
  <c r="K195" i="1"/>
  <c r="K189" i="1"/>
  <c r="K188" i="1"/>
  <c r="K183" i="1"/>
  <c r="K182" i="1"/>
  <c r="K181" i="1"/>
  <c r="K180" i="1"/>
  <c r="K179" i="1"/>
  <c r="K178" i="1"/>
  <c r="K177" i="1"/>
  <c r="K176" i="1"/>
  <c r="K175" i="1"/>
  <c r="K174" i="1"/>
  <c r="K173" i="1"/>
  <c r="I380" i="1" l="1"/>
  <c r="J380" i="1" s="1"/>
  <c r="I379" i="1"/>
  <c r="I378" i="1"/>
  <c r="I375" i="1"/>
  <c r="J375" i="1" s="1"/>
  <c r="K375" i="1" s="1"/>
  <c r="I377" i="1"/>
  <c r="J377" i="1" s="1"/>
  <c r="K377" i="1" s="1"/>
  <c r="I376" i="1"/>
  <c r="J376" i="1" s="1"/>
  <c r="K376" i="1" s="1"/>
  <c r="I374" i="1"/>
  <c r="J378" i="1"/>
  <c r="K378" i="1" s="1"/>
  <c r="X378" i="1" s="1"/>
  <c r="J374" i="1"/>
  <c r="K374" i="1" s="1"/>
  <c r="I373" i="1"/>
  <c r="J373" i="1" s="1"/>
  <c r="K373" i="1" s="1"/>
  <c r="I372" i="1"/>
  <c r="J372" i="1" s="1"/>
  <c r="K372" i="1" s="1"/>
  <c r="I371" i="1"/>
  <c r="J371" i="1" s="1"/>
  <c r="K371" i="1" s="1"/>
  <c r="I370" i="1"/>
  <c r="J370" i="1" s="1"/>
  <c r="K370" i="1" s="1"/>
  <c r="I369" i="1"/>
  <c r="J369" i="1" s="1"/>
  <c r="K369" i="1" s="1"/>
  <c r="I368" i="1"/>
  <c r="J368" i="1" s="1"/>
  <c r="K368" i="1" s="1"/>
  <c r="I367" i="1"/>
  <c r="J367" i="1" s="1"/>
  <c r="X377" i="1" l="1"/>
  <c r="W377" i="1"/>
  <c r="V375" i="1"/>
  <c r="X375" i="1"/>
  <c r="W375" i="1"/>
  <c r="U374" i="1"/>
  <c r="V374" i="1"/>
  <c r="X374" i="1"/>
  <c r="T374" i="1"/>
  <c r="W374" i="1"/>
  <c r="T368" i="1"/>
  <c r="S368" i="1"/>
  <c r="R368" i="1"/>
  <c r="Q368" i="1"/>
  <c r="X368" i="1"/>
  <c r="U368" i="1"/>
  <c r="W368" i="1"/>
  <c r="V368" i="1"/>
  <c r="V372" i="1"/>
  <c r="U372" i="1"/>
  <c r="T372" i="1"/>
  <c r="X372" i="1"/>
  <c r="W372" i="1"/>
  <c r="X376" i="1"/>
  <c r="W376" i="1"/>
  <c r="X369" i="1"/>
  <c r="W369" i="1"/>
  <c r="V369" i="1"/>
  <c r="Q369" i="1"/>
  <c r="U369" i="1"/>
  <c r="R369" i="1"/>
  <c r="T369" i="1"/>
  <c r="S369" i="1"/>
  <c r="X373" i="1"/>
  <c r="W373" i="1"/>
  <c r="V373" i="1"/>
  <c r="U373" i="1"/>
  <c r="T373" i="1"/>
  <c r="R370" i="1"/>
  <c r="T370" i="1"/>
  <c r="W370" i="1"/>
  <c r="V370" i="1"/>
  <c r="X370" i="1"/>
  <c r="U370" i="1"/>
  <c r="S370" i="1"/>
  <c r="X371" i="1"/>
  <c r="W371" i="1"/>
  <c r="V371" i="1"/>
  <c r="U371" i="1"/>
  <c r="T371" i="1"/>
  <c r="S371" i="1"/>
  <c r="K380" i="1"/>
  <c r="X380" i="1" s="1"/>
  <c r="J379" i="1"/>
  <c r="K379" i="1" s="1"/>
  <c r="X379" i="1" s="1"/>
  <c r="K367" i="1"/>
  <c r="Q367" i="1" l="1"/>
  <c r="P367" i="1"/>
  <c r="R367" i="1"/>
  <c r="O367" i="1"/>
  <c r="U367" i="1"/>
  <c r="X367" i="1"/>
  <c r="W367" i="1"/>
  <c r="V367" i="1"/>
  <c r="S367" i="1"/>
  <c r="T367" i="1"/>
  <c r="Y337" i="1"/>
  <c r="Z337" i="1" s="1"/>
  <c r="AA337" i="1" s="1"/>
  <c r="Y334" i="1"/>
  <c r="Z334" i="1" s="1"/>
  <c r="AA334" i="1" s="1"/>
  <c r="K366" i="1"/>
  <c r="K365" i="1"/>
  <c r="K364" i="1"/>
  <c r="R364" i="1" s="1"/>
  <c r="K363" i="1"/>
  <c r="V363" i="1" s="1"/>
  <c r="K362" i="1"/>
  <c r="W362" i="1" s="1"/>
  <c r="K361" i="1"/>
  <c r="Q361" i="1" s="1"/>
  <c r="K360" i="1"/>
  <c r="O360" i="1" s="1"/>
  <c r="K359" i="1"/>
  <c r="W359" i="1" s="1"/>
  <c r="K358" i="1"/>
  <c r="X358" i="1" s="1"/>
  <c r="K357" i="1"/>
  <c r="S357" i="1" s="1"/>
  <c r="K356" i="1"/>
  <c r="R356" i="1" s="1"/>
  <c r="K355" i="1"/>
  <c r="S355" i="1" s="1"/>
  <c r="K354" i="1"/>
  <c r="X354" i="1" s="1"/>
  <c r="K353" i="1"/>
  <c r="S353" i="1" s="1"/>
  <c r="K352" i="1"/>
  <c r="Q352" i="1" s="1"/>
  <c r="K351" i="1"/>
  <c r="V351" i="1" s="1"/>
  <c r="K350" i="1"/>
  <c r="V350" i="1" s="1"/>
  <c r="K349" i="1"/>
  <c r="T349" i="1" s="1"/>
  <c r="K348" i="1"/>
  <c r="R348" i="1" s="1"/>
  <c r="K347" i="1"/>
  <c r="W347" i="1" s="1"/>
  <c r="K346" i="1"/>
  <c r="V346" i="1" s="1"/>
  <c r="K345" i="1"/>
  <c r="S345" i="1" s="1"/>
  <c r="K344" i="1"/>
  <c r="V344" i="1" s="1"/>
  <c r="K343" i="1"/>
  <c r="S343" i="1" s="1"/>
  <c r="K342" i="1"/>
  <c r="W342" i="1" s="1"/>
  <c r="K341" i="1"/>
  <c r="S341" i="1" s="1"/>
  <c r="K340" i="1"/>
  <c r="R340" i="1" s="1"/>
  <c r="K339" i="1"/>
  <c r="U339" i="1" s="1"/>
  <c r="K338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W361" i="1"/>
  <c r="Y248" i="1"/>
  <c r="Z248" i="1" s="1"/>
  <c r="AA248" i="1" s="1"/>
  <c r="Y249" i="1"/>
  <c r="Z249" i="1" s="1"/>
  <c r="AA249" i="1" s="1"/>
  <c r="Y250" i="1"/>
  <c r="Z250" i="1" s="1"/>
  <c r="AA250" i="1" s="1"/>
  <c r="Y251" i="1"/>
  <c r="Z251" i="1" s="1"/>
  <c r="AA251" i="1" s="1"/>
  <c r="Y252" i="1"/>
  <c r="Z252" i="1" s="1"/>
  <c r="AA252" i="1" s="1"/>
  <c r="Y253" i="1"/>
  <c r="Z253" i="1" s="1"/>
  <c r="AA253" i="1" s="1"/>
  <c r="Y254" i="1"/>
  <c r="Z254" i="1" s="1"/>
  <c r="AA254" i="1" s="1"/>
  <c r="Y255" i="1"/>
  <c r="Z255" i="1" s="1"/>
  <c r="AA255" i="1" s="1"/>
  <c r="Y256" i="1"/>
  <c r="Z256" i="1" s="1"/>
  <c r="AA256" i="1" s="1"/>
  <c r="Y257" i="1"/>
  <c r="Z257" i="1" s="1"/>
  <c r="AA257" i="1" s="1"/>
  <c r="Y258" i="1"/>
  <c r="Z258" i="1" s="1"/>
  <c r="AA258" i="1" s="1"/>
  <c r="Y259" i="1"/>
  <c r="Z259" i="1" s="1"/>
  <c r="AA259" i="1" s="1"/>
  <c r="Y260" i="1"/>
  <c r="Z260" i="1" s="1"/>
  <c r="AA260" i="1" s="1"/>
  <c r="Y261" i="1"/>
  <c r="Z261" i="1" s="1"/>
  <c r="AA261" i="1" s="1"/>
  <c r="Y262" i="1"/>
  <c r="Z262" i="1" s="1"/>
  <c r="AA262" i="1" s="1"/>
  <c r="Y263" i="1"/>
  <c r="Z263" i="1" s="1"/>
  <c r="AA263" i="1" s="1"/>
  <c r="Y264" i="1"/>
  <c r="Z264" i="1" s="1"/>
  <c r="AA264" i="1" s="1"/>
  <c r="Y265" i="1"/>
  <c r="Z265" i="1" s="1"/>
  <c r="AA265" i="1" s="1"/>
  <c r="Y266" i="1"/>
  <c r="Z266" i="1" s="1"/>
  <c r="AA266" i="1" s="1"/>
  <c r="Y267" i="1"/>
  <c r="Z267" i="1" s="1"/>
  <c r="AA267" i="1" s="1"/>
  <c r="Y268" i="1"/>
  <c r="Z268" i="1" s="1"/>
  <c r="AA268" i="1" s="1"/>
  <c r="Y269" i="1"/>
  <c r="Z269" i="1" s="1"/>
  <c r="AA269" i="1" s="1"/>
  <c r="Y270" i="1"/>
  <c r="Z270" i="1" s="1"/>
  <c r="AA270" i="1" s="1"/>
  <c r="Y271" i="1"/>
  <c r="Z271" i="1" s="1"/>
  <c r="AA271" i="1" s="1"/>
  <c r="Y272" i="1"/>
  <c r="Z272" i="1" s="1"/>
  <c r="AA272" i="1" s="1"/>
  <c r="Y273" i="1"/>
  <c r="Z273" i="1" s="1"/>
  <c r="AA273" i="1" s="1"/>
  <c r="Y274" i="1"/>
  <c r="Z274" i="1" s="1"/>
  <c r="AA274" i="1" s="1"/>
  <c r="Y275" i="1"/>
  <c r="Z275" i="1" s="1"/>
  <c r="AA275" i="1" s="1"/>
  <c r="Y276" i="1"/>
  <c r="Z276" i="1" s="1"/>
  <c r="AA276" i="1" s="1"/>
  <c r="Y277" i="1"/>
  <c r="Z277" i="1" s="1"/>
  <c r="AA277" i="1" s="1"/>
  <c r="Y278" i="1"/>
  <c r="Z278" i="1" s="1"/>
  <c r="AA278" i="1" s="1"/>
  <c r="Y279" i="1"/>
  <c r="Z279" i="1" s="1"/>
  <c r="AA279" i="1" s="1"/>
  <c r="Y280" i="1"/>
  <c r="Z280" i="1" s="1"/>
  <c r="AA280" i="1" s="1"/>
  <c r="Y281" i="1"/>
  <c r="Z281" i="1" s="1"/>
  <c r="AA281" i="1" s="1"/>
  <c r="Y282" i="1"/>
  <c r="Z282" i="1" s="1"/>
  <c r="AA282" i="1" s="1"/>
  <c r="Y283" i="1"/>
  <c r="Z283" i="1" s="1"/>
  <c r="AA283" i="1" s="1"/>
  <c r="Y284" i="1"/>
  <c r="Z284" i="1" s="1"/>
  <c r="AA284" i="1" s="1"/>
  <c r="Y285" i="1"/>
  <c r="Z285" i="1" s="1"/>
  <c r="AA285" i="1" s="1"/>
  <c r="Y286" i="1"/>
  <c r="Z286" i="1" s="1"/>
  <c r="AA286" i="1" s="1"/>
  <c r="Y287" i="1"/>
  <c r="Z287" i="1" s="1"/>
  <c r="AA287" i="1" s="1"/>
  <c r="Y288" i="1"/>
  <c r="Z288" i="1" s="1"/>
  <c r="AA288" i="1" s="1"/>
  <c r="Y289" i="1"/>
  <c r="Z289" i="1" s="1"/>
  <c r="AA289" i="1" s="1"/>
  <c r="Y290" i="1"/>
  <c r="Z290" i="1" s="1"/>
  <c r="AA290" i="1" s="1"/>
  <c r="Y291" i="1"/>
  <c r="Z291" i="1" s="1"/>
  <c r="AA291" i="1" s="1"/>
  <c r="Y292" i="1"/>
  <c r="Z292" i="1" s="1"/>
  <c r="AA292" i="1" s="1"/>
  <c r="Y293" i="1"/>
  <c r="Z293" i="1" s="1"/>
  <c r="AA293" i="1" s="1"/>
  <c r="Y294" i="1"/>
  <c r="Z294" i="1" s="1"/>
  <c r="AA294" i="1" s="1"/>
  <c r="Y295" i="1"/>
  <c r="Z295" i="1" s="1"/>
  <c r="AA295" i="1" s="1"/>
  <c r="Y296" i="1"/>
  <c r="Z296" i="1" s="1"/>
  <c r="AA296" i="1" s="1"/>
  <c r="Y297" i="1"/>
  <c r="Z297" i="1" s="1"/>
  <c r="AA297" i="1" s="1"/>
  <c r="Y298" i="1"/>
  <c r="Z298" i="1" s="1"/>
  <c r="AA298" i="1" s="1"/>
  <c r="Y299" i="1"/>
  <c r="Z299" i="1" s="1"/>
  <c r="AA299" i="1" s="1"/>
  <c r="Y300" i="1"/>
  <c r="Z300" i="1" s="1"/>
  <c r="AA300" i="1" s="1"/>
  <c r="Y301" i="1"/>
  <c r="Z301" i="1" s="1"/>
  <c r="AA301" i="1" s="1"/>
  <c r="Y302" i="1"/>
  <c r="Z302" i="1" s="1"/>
  <c r="AA302" i="1" s="1"/>
  <c r="Y303" i="1"/>
  <c r="Z303" i="1" s="1"/>
  <c r="AA303" i="1" s="1"/>
  <c r="Y304" i="1"/>
  <c r="Z304" i="1" s="1"/>
  <c r="AA304" i="1" s="1"/>
  <c r="Y305" i="1"/>
  <c r="Z305" i="1" s="1"/>
  <c r="AA305" i="1" s="1"/>
  <c r="Y306" i="1"/>
  <c r="Z306" i="1" s="1"/>
  <c r="AA306" i="1" s="1"/>
  <c r="Y307" i="1"/>
  <c r="Z307" i="1" s="1"/>
  <c r="AA307" i="1" s="1"/>
  <c r="Y308" i="1"/>
  <c r="Z308" i="1" s="1"/>
  <c r="AA308" i="1" s="1"/>
  <c r="Y309" i="1"/>
  <c r="Z309" i="1" s="1"/>
  <c r="AA309" i="1" s="1"/>
  <c r="Y310" i="1"/>
  <c r="Z310" i="1" s="1"/>
  <c r="AA310" i="1" s="1"/>
  <c r="Y311" i="1"/>
  <c r="Z311" i="1" s="1"/>
  <c r="AA311" i="1" s="1"/>
  <c r="Y312" i="1"/>
  <c r="Z312" i="1" s="1"/>
  <c r="AA312" i="1" s="1"/>
  <c r="Y313" i="1"/>
  <c r="Z313" i="1" s="1"/>
  <c r="AA313" i="1" s="1"/>
  <c r="Y314" i="1"/>
  <c r="Z314" i="1" s="1"/>
  <c r="AA314" i="1" s="1"/>
  <c r="Y315" i="1"/>
  <c r="Z315" i="1" s="1"/>
  <c r="AA315" i="1" s="1"/>
  <c r="Y316" i="1"/>
  <c r="Z316" i="1" s="1"/>
  <c r="AA316" i="1" s="1"/>
  <c r="Y317" i="1"/>
  <c r="Z317" i="1" s="1"/>
  <c r="AA317" i="1" s="1"/>
  <c r="Y318" i="1"/>
  <c r="Z318" i="1" s="1"/>
  <c r="AA318" i="1" s="1"/>
  <c r="Y319" i="1"/>
  <c r="Z319" i="1" s="1"/>
  <c r="AA319" i="1" s="1"/>
  <c r="Y320" i="1"/>
  <c r="Z320" i="1" s="1"/>
  <c r="AA320" i="1" s="1"/>
  <c r="Y321" i="1"/>
  <c r="Z321" i="1" s="1"/>
  <c r="AA321" i="1" s="1"/>
  <c r="Y322" i="1"/>
  <c r="Z322" i="1" s="1"/>
  <c r="AA322" i="1" s="1"/>
  <c r="Y323" i="1"/>
  <c r="Z323" i="1" s="1"/>
  <c r="AA323" i="1" s="1"/>
  <c r="Y324" i="1"/>
  <c r="Z324" i="1" s="1"/>
  <c r="AA324" i="1" s="1"/>
  <c r="Y325" i="1"/>
  <c r="Z325" i="1" s="1"/>
  <c r="AA325" i="1" s="1"/>
  <c r="Y326" i="1"/>
  <c r="Z326" i="1" s="1"/>
  <c r="AA326" i="1" s="1"/>
  <c r="Y327" i="1"/>
  <c r="Z327" i="1" s="1"/>
  <c r="AA327" i="1" s="1"/>
  <c r="Y328" i="1"/>
  <c r="Z328" i="1" s="1"/>
  <c r="AA328" i="1" s="1"/>
  <c r="Y329" i="1"/>
  <c r="Z329" i="1" s="1"/>
  <c r="AA329" i="1" s="1"/>
  <c r="Y330" i="1"/>
  <c r="Z330" i="1" s="1"/>
  <c r="AA330" i="1" s="1"/>
  <c r="Y331" i="1"/>
  <c r="Z331" i="1" s="1"/>
  <c r="AA331" i="1" s="1"/>
  <c r="Y332" i="1"/>
  <c r="Z332" i="1" s="1"/>
  <c r="AA332" i="1" s="1"/>
  <c r="Y333" i="1"/>
  <c r="Z333" i="1" s="1"/>
  <c r="AA333" i="1" s="1"/>
  <c r="Y335" i="1"/>
  <c r="Z335" i="1" s="1"/>
  <c r="AA335" i="1" s="1"/>
  <c r="Y336" i="1"/>
  <c r="Z336" i="1" s="1"/>
  <c r="AA336" i="1" s="1"/>
  <c r="Y367" i="1"/>
  <c r="Z367" i="1" s="1"/>
  <c r="AA367" i="1" s="1"/>
  <c r="Y368" i="1"/>
  <c r="Z368" i="1" s="1"/>
  <c r="AA368" i="1" s="1"/>
  <c r="Y369" i="1"/>
  <c r="Z369" i="1" s="1"/>
  <c r="AA369" i="1" s="1"/>
  <c r="Y370" i="1"/>
  <c r="Z370" i="1" s="1"/>
  <c r="AA370" i="1" s="1"/>
  <c r="Y371" i="1"/>
  <c r="Z371" i="1" s="1"/>
  <c r="AA371" i="1" s="1"/>
  <c r="Y372" i="1"/>
  <c r="Z372" i="1" s="1"/>
  <c r="AA372" i="1" s="1"/>
  <c r="Y373" i="1"/>
  <c r="Z373" i="1" s="1"/>
  <c r="AA373" i="1" s="1"/>
  <c r="Y374" i="1"/>
  <c r="Z374" i="1" s="1"/>
  <c r="AA374" i="1" s="1"/>
  <c r="Y375" i="1"/>
  <c r="Z375" i="1" s="1"/>
  <c r="AA375" i="1" s="1"/>
  <c r="Y376" i="1"/>
  <c r="Z376" i="1" s="1"/>
  <c r="AA376" i="1" s="1"/>
  <c r="Y377" i="1"/>
  <c r="Z377" i="1" s="1"/>
  <c r="AA377" i="1" s="1"/>
  <c r="Y378" i="1"/>
  <c r="Z378" i="1" s="1"/>
  <c r="AA378" i="1" s="1"/>
  <c r="Y379" i="1"/>
  <c r="Z379" i="1" s="1"/>
  <c r="AA379" i="1" s="1"/>
  <c r="Y380" i="1"/>
  <c r="Z380" i="1" s="1"/>
  <c r="AA380" i="1" s="1"/>
  <c r="Y381" i="1"/>
  <c r="Z381" i="1" s="1"/>
  <c r="AA381" i="1" s="1"/>
  <c r="Y382" i="1"/>
  <c r="Z382" i="1" s="1"/>
  <c r="AA382" i="1" s="1"/>
  <c r="Y383" i="1"/>
  <c r="Z383" i="1" s="1"/>
  <c r="AA383" i="1" s="1"/>
  <c r="Y384" i="1"/>
  <c r="Z384" i="1" s="1"/>
  <c r="AA384" i="1" s="1"/>
  <c r="Y385" i="1"/>
  <c r="Z385" i="1" s="1"/>
  <c r="AA385" i="1" s="1"/>
  <c r="Y386" i="1"/>
  <c r="Z386" i="1" s="1"/>
  <c r="AA386" i="1" s="1"/>
  <c r="Y389" i="1"/>
  <c r="Z389" i="1" s="1"/>
  <c r="AA389" i="1" s="1"/>
  <c r="Y247" i="1"/>
  <c r="Z247" i="1" s="1"/>
  <c r="AA247" i="1" s="1"/>
  <c r="X365" i="1" l="1"/>
  <c r="M365" i="1"/>
  <c r="X366" i="1"/>
  <c r="N366" i="1"/>
  <c r="M366" i="1"/>
  <c r="R362" i="1"/>
  <c r="T363" i="1"/>
  <c r="R350" i="1"/>
  <c r="V362" i="1"/>
  <c r="M350" i="1"/>
  <c r="P350" i="1"/>
  <c r="O339" i="1"/>
  <c r="Q339" i="1"/>
  <c r="X351" i="1"/>
  <c r="X363" i="1"/>
  <c r="N351" i="1"/>
  <c r="R351" i="1"/>
  <c r="P363" i="1"/>
  <c r="R363" i="1"/>
  <c r="V349" i="1"/>
  <c r="U349" i="1"/>
  <c r="N350" i="1"/>
  <c r="S349" i="1"/>
  <c r="X349" i="1"/>
  <c r="O350" i="1"/>
  <c r="S350" i="1"/>
  <c r="X350" i="1"/>
  <c r="T350" i="1"/>
  <c r="Q350" i="1"/>
  <c r="T351" i="1"/>
  <c r="X361" i="1"/>
  <c r="U350" i="1"/>
  <c r="M361" i="1"/>
  <c r="U351" i="1"/>
  <c r="M339" i="1"/>
  <c r="M362" i="1"/>
  <c r="U363" i="1"/>
  <c r="O349" i="1"/>
  <c r="P361" i="1"/>
  <c r="Q349" i="1"/>
  <c r="R361" i="1"/>
  <c r="R349" i="1"/>
  <c r="U361" i="1"/>
  <c r="Q346" i="1"/>
  <c r="R346" i="1"/>
  <c r="M358" i="1"/>
  <c r="U358" i="1"/>
  <c r="N358" i="1"/>
  <c r="S346" i="1"/>
  <c r="O358" i="1"/>
  <c r="P358" i="1"/>
  <c r="Q358" i="1"/>
  <c r="T346" i="1"/>
  <c r="V358" i="1"/>
  <c r="R358" i="1"/>
  <c r="P346" i="1"/>
  <c r="W346" i="1"/>
  <c r="T358" i="1"/>
  <c r="X346" i="1"/>
  <c r="R347" i="1"/>
  <c r="S348" i="1"/>
  <c r="R360" i="1"/>
  <c r="V348" i="1"/>
  <c r="N347" i="1"/>
  <c r="U348" i="1"/>
  <c r="X347" i="1"/>
  <c r="T355" i="1"/>
  <c r="P360" i="1"/>
  <c r="T361" i="1"/>
  <c r="X359" i="1"/>
  <c r="Q360" i="1"/>
  <c r="V361" i="1"/>
  <c r="X360" i="1"/>
  <c r="N348" i="1"/>
  <c r="M349" i="1"/>
  <c r="N361" i="1"/>
  <c r="W348" i="1"/>
  <c r="N349" i="1"/>
  <c r="O361" i="1"/>
  <c r="S361" i="1"/>
  <c r="W349" i="1"/>
  <c r="U355" i="1"/>
  <c r="P349" i="1"/>
  <c r="X356" i="1"/>
  <c r="N356" i="1"/>
  <c r="R357" i="1"/>
  <c r="W344" i="1"/>
  <c r="U356" i="1"/>
  <c r="S344" i="1"/>
  <c r="O341" i="1"/>
  <c r="N362" i="1"/>
  <c r="T362" i="1"/>
  <c r="M341" i="1"/>
  <c r="O343" i="1"/>
  <c r="O362" i="1"/>
  <c r="S362" i="1"/>
  <c r="U362" i="1"/>
  <c r="W350" i="1"/>
  <c r="M344" i="1"/>
  <c r="R352" i="1"/>
  <c r="P362" i="1"/>
  <c r="T341" i="1"/>
  <c r="U341" i="1"/>
  <c r="X362" i="1"/>
  <c r="N344" i="1"/>
  <c r="N353" i="1"/>
  <c r="Q362" i="1"/>
  <c r="T343" i="1"/>
  <c r="U343" i="1"/>
  <c r="T353" i="1"/>
  <c r="O344" i="1"/>
  <c r="R353" i="1"/>
  <c r="X344" i="1"/>
  <c r="R344" i="1"/>
  <c r="N355" i="1"/>
  <c r="U353" i="1"/>
  <c r="U364" i="1"/>
  <c r="X352" i="1"/>
  <c r="P354" i="1"/>
  <c r="T352" i="1"/>
  <c r="W352" i="1"/>
  <c r="N365" i="1"/>
  <c r="O365" i="1"/>
  <c r="S352" i="1"/>
  <c r="U352" i="1"/>
  <c r="V352" i="1"/>
  <c r="P365" i="1"/>
  <c r="M364" i="1"/>
  <c r="W364" i="1"/>
  <c r="Q365" i="1"/>
  <c r="M352" i="1"/>
  <c r="N364" i="1"/>
  <c r="R365" i="1"/>
  <c r="N352" i="1"/>
  <c r="O364" i="1"/>
  <c r="S364" i="1"/>
  <c r="X364" i="1"/>
  <c r="S365" i="1"/>
  <c r="O352" i="1"/>
  <c r="P364" i="1"/>
  <c r="V364" i="1"/>
  <c r="R366" i="1"/>
  <c r="P352" i="1"/>
  <c r="Q364" i="1"/>
  <c r="T364" i="1"/>
  <c r="U354" i="1"/>
  <c r="O366" i="1"/>
  <c r="Q354" i="1"/>
  <c r="X342" i="1"/>
  <c r="P366" i="1"/>
  <c r="R354" i="1"/>
  <c r="T342" i="1"/>
  <c r="T354" i="1"/>
  <c r="U342" i="1"/>
  <c r="Q366" i="1"/>
  <c r="P344" i="1"/>
  <c r="R355" i="1"/>
  <c r="T344" i="1"/>
  <c r="T356" i="1"/>
  <c r="U344" i="1"/>
  <c r="U360" i="1"/>
  <c r="V354" i="1"/>
  <c r="S366" i="1"/>
  <c r="M342" i="1"/>
  <c r="Q344" i="1"/>
  <c r="M348" i="1"/>
  <c r="M356" i="1"/>
  <c r="T345" i="1"/>
  <c r="T357" i="1"/>
  <c r="U346" i="1"/>
  <c r="V356" i="1"/>
  <c r="X348" i="1"/>
  <c r="T366" i="1"/>
  <c r="N342" i="1"/>
  <c r="S354" i="1"/>
  <c r="U366" i="1"/>
  <c r="O342" i="1"/>
  <c r="M345" i="1"/>
  <c r="O348" i="1"/>
  <c r="O356" i="1"/>
  <c r="M359" i="1"/>
  <c r="S356" i="1"/>
  <c r="T347" i="1"/>
  <c r="T359" i="1"/>
  <c r="V360" i="1"/>
  <c r="W356" i="1"/>
  <c r="T365" i="1"/>
  <c r="V366" i="1"/>
  <c r="W354" i="1"/>
  <c r="P342" i="1"/>
  <c r="O345" i="1"/>
  <c r="P348" i="1"/>
  <c r="P356" i="1"/>
  <c r="Q359" i="1"/>
  <c r="S358" i="1"/>
  <c r="T348" i="1"/>
  <c r="T360" i="1"/>
  <c r="W358" i="1"/>
  <c r="U365" i="1"/>
  <c r="W366" i="1"/>
  <c r="Q342" i="1"/>
  <c r="M346" i="1"/>
  <c r="Q348" i="1"/>
  <c r="M354" i="1"/>
  <c r="Q356" i="1"/>
  <c r="M360" i="1"/>
  <c r="S360" i="1"/>
  <c r="V342" i="1"/>
  <c r="W360" i="1"/>
  <c r="P339" i="1"/>
  <c r="T339" i="1"/>
  <c r="S339" i="1"/>
  <c r="V365" i="1"/>
  <c r="R342" i="1"/>
  <c r="N346" i="1"/>
  <c r="N354" i="1"/>
  <c r="N360" i="1"/>
  <c r="X353" i="1"/>
  <c r="T340" i="1"/>
  <c r="S340" i="1"/>
  <c r="W365" i="1"/>
  <c r="M343" i="1"/>
  <c r="O346" i="1"/>
  <c r="O354" i="1"/>
  <c r="N357" i="1"/>
  <c r="S342" i="1"/>
  <c r="Y338" i="1"/>
  <c r="Z338" i="1" s="1"/>
  <c r="AA338" i="1" s="1"/>
  <c r="R339" i="1"/>
  <c r="S347" i="1"/>
  <c r="S359" i="1"/>
  <c r="V353" i="1"/>
  <c r="W351" i="1"/>
  <c r="W363" i="1"/>
  <c r="N341" i="1"/>
  <c r="N343" i="1"/>
  <c r="N345" i="1"/>
  <c r="M347" i="1"/>
  <c r="M351" i="1"/>
  <c r="M353" i="1"/>
  <c r="M355" i="1"/>
  <c r="M357" i="1"/>
  <c r="V343" i="1"/>
  <c r="V355" i="1"/>
  <c r="W353" i="1"/>
  <c r="U345" i="1"/>
  <c r="U357" i="1"/>
  <c r="P341" i="1"/>
  <c r="P343" i="1"/>
  <c r="P345" i="1"/>
  <c r="O347" i="1"/>
  <c r="O351" i="1"/>
  <c r="O353" i="1"/>
  <c r="O355" i="1"/>
  <c r="O357" i="1"/>
  <c r="N359" i="1"/>
  <c r="M363" i="1"/>
  <c r="S351" i="1"/>
  <c r="S363" i="1"/>
  <c r="V345" i="1"/>
  <c r="V357" i="1"/>
  <c r="W343" i="1"/>
  <c r="W355" i="1"/>
  <c r="Q341" i="1"/>
  <c r="Q343" i="1"/>
  <c r="Q345" i="1"/>
  <c r="P347" i="1"/>
  <c r="P351" i="1"/>
  <c r="P355" i="1"/>
  <c r="P357" i="1"/>
  <c r="O359" i="1"/>
  <c r="N363" i="1"/>
  <c r="U347" i="1"/>
  <c r="U359" i="1"/>
  <c r="X343" i="1"/>
  <c r="X355" i="1"/>
  <c r="P353" i="1"/>
  <c r="R341" i="1"/>
  <c r="R343" i="1"/>
  <c r="R345" i="1"/>
  <c r="Q347" i="1"/>
  <c r="Q351" i="1"/>
  <c r="Q353" i="1"/>
  <c r="Q355" i="1"/>
  <c r="Q357" i="1"/>
  <c r="P359" i="1"/>
  <c r="O363" i="1"/>
  <c r="V347" i="1"/>
  <c r="V359" i="1"/>
  <c r="W345" i="1"/>
  <c r="W357" i="1"/>
  <c r="X345" i="1"/>
  <c r="X357" i="1"/>
  <c r="N339" i="1"/>
  <c r="R359" i="1"/>
  <c r="Q363" i="1"/>
  <c r="M340" i="1"/>
  <c r="N340" i="1"/>
  <c r="O340" i="1"/>
  <c r="P340" i="1"/>
  <c r="Q340" i="1"/>
  <c r="L388" i="1"/>
  <c r="L391" i="1" s="1"/>
  <c r="L393" i="1" s="1"/>
  <c r="J388" i="1"/>
  <c r="I388" i="1"/>
  <c r="K316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R388" i="1" l="1"/>
  <c r="Y350" i="1"/>
  <c r="Z350" i="1" s="1"/>
  <c r="AA350" i="1" s="1"/>
  <c r="U388" i="1"/>
  <c r="T388" i="1"/>
  <c r="V388" i="1"/>
  <c r="W388" i="1"/>
  <c r="Y361" i="1"/>
  <c r="Z361" i="1" s="1"/>
  <c r="AA361" i="1" s="1"/>
  <c r="Y348" i="1"/>
  <c r="Z348" i="1" s="1"/>
  <c r="AA348" i="1" s="1"/>
  <c r="Y349" i="1"/>
  <c r="Z349" i="1" s="1"/>
  <c r="AA349" i="1" s="1"/>
  <c r="Y352" i="1"/>
  <c r="Z352" i="1" s="1"/>
  <c r="AA352" i="1" s="1"/>
  <c r="Y362" i="1"/>
  <c r="Z362" i="1" s="1"/>
  <c r="AA362" i="1" s="1"/>
  <c r="Y342" i="1"/>
  <c r="Z342" i="1" s="1"/>
  <c r="AA342" i="1" s="1"/>
  <c r="Y358" i="1"/>
  <c r="Z358" i="1" s="1"/>
  <c r="AA358" i="1" s="1"/>
  <c r="Y364" i="1"/>
  <c r="Z364" i="1" s="1"/>
  <c r="AA364" i="1" s="1"/>
  <c r="Y339" i="1"/>
  <c r="Z339" i="1" s="1"/>
  <c r="AA339" i="1" s="1"/>
  <c r="Y365" i="1"/>
  <c r="Z365" i="1" s="1"/>
  <c r="AA365" i="1" s="1"/>
  <c r="Y360" i="1"/>
  <c r="Z360" i="1" s="1"/>
  <c r="AA360" i="1" s="1"/>
  <c r="Y355" i="1"/>
  <c r="Z355" i="1" s="1"/>
  <c r="AA355" i="1" s="1"/>
  <c r="Y354" i="1"/>
  <c r="Z354" i="1" s="1"/>
  <c r="AA354" i="1" s="1"/>
  <c r="Y344" i="1"/>
  <c r="Z344" i="1" s="1"/>
  <c r="AA344" i="1" s="1"/>
  <c r="Y356" i="1"/>
  <c r="Z356" i="1" s="1"/>
  <c r="AA356" i="1" s="1"/>
  <c r="Y346" i="1"/>
  <c r="Z346" i="1" s="1"/>
  <c r="AA346" i="1" s="1"/>
  <c r="Y363" i="1"/>
  <c r="Z363" i="1" s="1"/>
  <c r="AA363" i="1" s="1"/>
  <c r="Y345" i="1"/>
  <c r="Z345" i="1" s="1"/>
  <c r="AA345" i="1" s="1"/>
  <c r="Y341" i="1"/>
  <c r="Z341" i="1" s="1"/>
  <c r="AA341" i="1" s="1"/>
  <c r="Y366" i="1"/>
  <c r="Z366" i="1" s="1"/>
  <c r="AA366" i="1" s="1"/>
  <c r="Y359" i="1"/>
  <c r="Z359" i="1" s="1"/>
  <c r="AA359" i="1" s="1"/>
  <c r="Y353" i="1"/>
  <c r="Z353" i="1" s="1"/>
  <c r="AA353" i="1" s="1"/>
  <c r="Y347" i="1"/>
  <c r="Z347" i="1" s="1"/>
  <c r="AA347" i="1" s="1"/>
  <c r="Y343" i="1"/>
  <c r="Z343" i="1" s="1"/>
  <c r="AA343" i="1" s="1"/>
  <c r="Y351" i="1"/>
  <c r="Z351" i="1" s="1"/>
  <c r="AA351" i="1" s="1"/>
  <c r="X388" i="1"/>
  <c r="Y357" i="1"/>
  <c r="Z357" i="1" s="1"/>
  <c r="AA357" i="1" s="1"/>
  <c r="Q388" i="1"/>
  <c r="P388" i="1"/>
  <c r="O388" i="1"/>
  <c r="N388" i="1"/>
  <c r="S388" i="1"/>
  <c r="Y340" i="1"/>
  <c r="Z340" i="1" s="1"/>
  <c r="AA340" i="1" s="1"/>
  <c r="K388" i="1"/>
  <c r="AA388" i="1" l="1"/>
  <c r="Y388" i="1"/>
  <c r="Z388" i="1"/>
  <c r="X243" i="1"/>
  <c r="W243" i="1"/>
  <c r="V243" i="1"/>
  <c r="U243" i="1"/>
  <c r="T243" i="1"/>
  <c r="S243" i="1"/>
  <c r="Y241" i="1"/>
  <c r="Z241" i="1" s="1"/>
  <c r="AA241" i="1" s="1"/>
  <c r="Y240" i="1"/>
  <c r="Z240" i="1" s="1"/>
  <c r="AA240" i="1" s="1"/>
  <c r="Z239" i="1"/>
  <c r="AA239" i="1" s="1"/>
  <c r="Y239" i="1"/>
  <c r="Y238" i="1"/>
  <c r="Z238" i="1" s="1"/>
  <c r="AA238" i="1" s="1"/>
  <c r="Y237" i="1"/>
  <c r="Z237" i="1" s="1"/>
  <c r="AA237" i="1" s="1"/>
  <c r="Y236" i="1"/>
  <c r="Z236" i="1" s="1"/>
  <c r="AA236" i="1" s="1"/>
  <c r="Y235" i="1"/>
  <c r="Z235" i="1" s="1"/>
  <c r="AA235" i="1" s="1"/>
  <c r="Y234" i="1"/>
  <c r="Z234" i="1" s="1"/>
  <c r="AA234" i="1" s="1"/>
  <c r="Y233" i="1"/>
  <c r="Z233" i="1" s="1"/>
  <c r="AA233" i="1" s="1"/>
  <c r="Y232" i="1"/>
  <c r="Z232" i="1" s="1"/>
  <c r="AA232" i="1" s="1"/>
  <c r="Y231" i="1"/>
  <c r="Z231" i="1" s="1"/>
  <c r="AA231" i="1" s="1"/>
  <c r="Y230" i="1"/>
  <c r="Z230" i="1" s="1"/>
  <c r="AA230" i="1" s="1"/>
  <c r="Y229" i="1"/>
  <c r="Z229" i="1" s="1"/>
  <c r="AA229" i="1" s="1"/>
  <c r="Y228" i="1"/>
  <c r="Z228" i="1" s="1"/>
  <c r="AA228" i="1" s="1"/>
  <c r="Y227" i="1"/>
  <c r="Z227" i="1" s="1"/>
  <c r="AA227" i="1" s="1"/>
  <c r="Y226" i="1"/>
  <c r="Z226" i="1" s="1"/>
  <c r="AA226" i="1" s="1"/>
  <c r="Y225" i="1"/>
  <c r="Z225" i="1" s="1"/>
  <c r="AA225" i="1" s="1"/>
  <c r="Y224" i="1"/>
  <c r="Z224" i="1" s="1"/>
  <c r="AA224" i="1" s="1"/>
  <c r="Y223" i="1"/>
  <c r="Z223" i="1" s="1"/>
  <c r="AA223" i="1" s="1"/>
  <c r="Y222" i="1"/>
  <c r="Z222" i="1" s="1"/>
  <c r="AA222" i="1" s="1"/>
  <c r="Y221" i="1"/>
  <c r="Z221" i="1" s="1"/>
  <c r="AA221" i="1" s="1"/>
  <c r="Y220" i="1"/>
  <c r="Z220" i="1" s="1"/>
  <c r="AA220" i="1" s="1"/>
  <c r="Y219" i="1"/>
  <c r="Z219" i="1" s="1"/>
  <c r="AA219" i="1" s="1"/>
  <c r="Y218" i="1"/>
  <c r="Z218" i="1" s="1"/>
  <c r="AA218" i="1" s="1"/>
  <c r="R242" i="1"/>
  <c r="R243" i="1" s="1"/>
  <c r="Q242" i="1"/>
  <c r="Q243" i="1" s="1"/>
  <c r="P242" i="1"/>
  <c r="P243" i="1" s="1"/>
  <c r="O242" i="1"/>
  <c r="O243" i="1" s="1"/>
  <c r="N242" i="1"/>
  <c r="N243" i="1" s="1"/>
  <c r="M242" i="1"/>
  <c r="M243" i="1" s="1"/>
  <c r="L243" i="1"/>
  <c r="J243" i="1"/>
  <c r="I243" i="1"/>
  <c r="Y242" i="1" l="1"/>
  <c r="Z242" i="1" s="1"/>
  <c r="AA242" i="1" s="1"/>
  <c r="AA243" i="1" s="1"/>
  <c r="Y243" i="1"/>
  <c r="K243" i="1"/>
  <c r="L214" i="1"/>
  <c r="K214" i="1"/>
  <c r="J214" i="1"/>
  <c r="I214" i="1"/>
  <c r="Y209" i="1"/>
  <c r="Z209" i="1" s="1"/>
  <c r="AA209" i="1" s="1"/>
  <c r="Y208" i="1"/>
  <c r="Z208" i="1" s="1"/>
  <c r="AA208" i="1" s="1"/>
  <c r="Y207" i="1"/>
  <c r="Z207" i="1" s="1"/>
  <c r="AA207" i="1" s="1"/>
  <c r="Y206" i="1"/>
  <c r="Z206" i="1" s="1"/>
  <c r="AA206" i="1" s="1"/>
  <c r="Y205" i="1"/>
  <c r="Z205" i="1" s="1"/>
  <c r="AA205" i="1" s="1"/>
  <c r="Y204" i="1"/>
  <c r="Z204" i="1" s="1"/>
  <c r="AA204" i="1" s="1"/>
  <c r="Y203" i="1"/>
  <c r="Z203" i="1" s="1"/>
  <c r="AA203" i="1" s="1"/>
  <c r="Y202" i="1"/>
  <c r="Z202" i="1" s="1"/>
  <c r="AA202" i="1" s="1"/>
  <c r="Y201" i="1"/>
  <c r="Z201" i="1" s="1"/>
  <c r="AA201" i="1" s="1"/>
  <c r="Y200" i="1"/>
  <c r="Z200" i="1" s="1"/>
  <c r="AA200" i="1" s="1"/>
  <c r="X213" i="1"/>
  <c r="W213" i="1"/>
  <c r="V213" i="1"/>
  <c r="U213" i="1"/>
  <c r="T213" i="1"/>
  <c r="S213" i="1"/>
  <c r="R213" i="1"/>
  <c r="Q213" i="1"/>
  <c r="P213" i="1"/>
  <c r="O213" i="1"/>
  <c r="N213" i="1"/>
  <c r="X211" i="1"/>
  <c r="W211" i="1"/>
  <c r="V211" i="1"/>
  <c r="U211" i="1"/>
  <c r="T211" i="1"/>
  <c r="S211" i="1"/>
  <c r="R211" i="1"/>
  <c r="Q211" i="1"/>
  <c r="P211" i="1"/>
  <c r="O211" i="1"/>
  <c r="N211" i="1"/>
  <c r="X210" i="1"/>
  <c r="W210" i="1"/>
  <c r="V210" i="1"/>
  <c r="U210" i="1"/>
  <c r="T210" i="1"/>
  <c r="S210" i="1"/>
  <c r="R210" i="1"/>
  <c r="Q210" i="1"/>
  <c r="P210" i="1"/>
  <c r="O210" i="1"/>
  <c r="N210" i="1"/>
  <c r="X212" i="1"/>
  <c r="W212" i="1"/>
  <c r="V212" i="1"/>
  <c r="U212" i="1"/>
  <c r="T212" i="1"/>
  <c r="S212" i="1"/>
  <c r="R212" i="1"/>
  <c r="Q212" i="1"/>
  <c r="P212" i="1"/>
  <c r="O212" i="1"/>
  <c r="O214" i="1" s="1"/>
  <c r="N212" i="1"/>
  <c r="M213" i="1"/>
  <c r="M212" i="1"/>
  <c r="M214" i="1" s="1"/>
  <c r="X196" i="1"/>
  <c r="W196" i="1"/>
  <c r="V196" i="1"/>
  <c r="U196" i="1"/>
  <c r="T196" i="1"/>
  <c r="S196" i="1"/>
  <c r="R196" i="1"/>
  <c r="Q196" i="1"/>
  <c r="P196" i="1"/>
  <c r="O196" i="1"/>
  <c r="N196" i="1"/>
  <c r="M196" i="1"/>
  <c r="Y195" i="1"/>
  <c r="Z195" i="1" s="1"/>
  <c r="AA195" i="1" s="1"/>
  <c r="AA196" i="1" s="1"/>
  <c r="L196" i="1"/>
  <c r="K196" i="1"/>
  <c r="J196" i="1"/>
  <c r="I196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Y189" i="1"/>
  <c r="Z189" i="1" s="1"/>
  <c r="AA189" i="1" s="1"/>
  <c r="Y188" i="1"/>
  <c r="Z188" i="1" s="1"/>
  <c r="AA188" i="1" s="1"/>
  <c r="L190" i="1"/>
  <c r="K190" i="1"/>
  <c r="J190" i="1"/>
  <c r="I190" i="1"/>
  <c r="W184" i="1"/>
  <c r="Y183" i="1"/>
  <c r="Z183" i="1" s="1"/>
  <c r="AA183" i="1" s="1"/>
  <c r="Y178" i="1"/>
  <c r="Z178" i="1" s="1"/>
  <c r="AA178" i="1" s="1"/>
  <c r="Y177" i="1"/>
  <c r="Z177" i="1" s="1"/>
  <c r="AA177" i="1" s="1"/>
  <c r="Y176" i="1"/>
  <c r="Z176" i="1" s="1"/>
  <c r="AA176" i="1" s="1"/>
  <c r="Y175" i="1"/>
  <c r="Z175" i="1" s="1"/>
  <c r="AA175" i="1" s="1"/>
  <c r="Y174" i="1"/>
  <c r="Z174" i="1" s="1"/>
  <c r="AA174" i="1" s="1"/>
  <c r="Y173" i="1"/>
  <c r="X182" i="1"/>
  <c r="X184" i="1" s="1"/>
  <c r="W182" i="1"/>
  <c r="V182" i="1"/>
  <c r="V184" i="1" s="1"/>
  <c r="U182" i="1"/>
  <c r="T182" i="1"/>
  <c r="S182" i="1"/>
  <c r="R182" i="1"/>
  <c r="Q182" i="1"/>
  <c r="U181" i="1"/>
  <c r="U184" i="1" s="1"/>
  <c r="T181" i="1"/>
  <c r="S181" i="1"/>
  <c r="R181" i="1"/>
  <c r="Q181" i="1"/>
  <c r="T180" i="1"/>
  <c r="S180" i="1"/>
  <c r="R180" i="1"/>
  <c r="Q180" i="1"/>
  <c r="P182" i="1"/>
  <c r="P181" i="1"/>
  <c r="P180" i="1"/>
  <c r="O182" i="1"/>
  <c r="O181" i="1"/>
  <c r="O180" i="1"/>
  <c r="O184" i="1" s="1"/>
  <c r="N182" i="1"/>
  <c r="N181" i="1"/>
  <c r="N180" i="1"/>
  <c r="N184" i="1" s="1"/>
  <c r="M182" i="1"/>
  <c r="M181" i="1"/>
  <c r="M180" i="1"/>
  <c r="M179" i="1"/>
  <c r="Y179" i="1" s="1"/>
  <c r="Z179" i="1" s="1"/>
  <c r="AA179" i="1" s="1"/>
  <c r="L184" i="1"/>
  <c r="K184" i="1"/>
  <c r="J184" i="1"/>
  <c r="I184" i="1"/>
  <c r="Z196" i="1" l="1"/>
  <c r="AA190" i="1"/>
  <c r="Y211" i="1"/>
  <c r="Z211" i="1" s="1"/>
  <c r="AA211" i="1" s="1"/>
  <c r="Z243" i="1"/>
  <c r="Y213" i="1"/>
  <c r="Z213" i="1" s="1"/>
  <c r="AA213" i="1" s="1"/>
  <c r="R214" i="1"/>
  <c r="V214" i="1"/>
  <c r="Y212" i="1"/>
  <c r="Z212" i="1" s="1"/>
  <c r="AA212" i="1" s="1"/>
  <c r="P214" i="1"/>
  <c r="Q214" i="1"/>
  <c r="S214" i="1"/>
  <c r="X214" i="1"/>
  <c r="U214" i="1"/>
  <c r="T214" i="1"/>
  <c r="W214" i="1"/>
  <c r="N214" i="1"/>
  <c r="Y182" i="1"/>
  <c r="Z182" i="1" s="1"/>
  <c r="AA182" i="1" s="1"/>
  <c r="S184" i="1"/>
  <c r="R184" i="1"/>
  <c r="T184" i="1"/>
  <c r="P184" i="1"/>
  <c r="Y181" i="1"/>
  <c r="Z181" i="1" s="1"/>
  <c r="AA181" i="1" s="1"/>
  <c r="Y180" i="1"/>
  <c r="Z180" i="1" s="1"/>
  <c r="AA180" i="1" s="1"/>
  <c r="Q184" i="1"/>
  <c r="Z173" i="1"/>
  <c r="M184" i="1"/>
  <c r="Y196" i="1"/>
  <c r="Y210" i="1"/>
  <c r="Z210" i="1" s="1"/>
  <c r="AA210" i="1" s="1"/>
  <c r="Y190" i="1"/>
  <c r="Z190" i="1"/>
  <c r="AA214" i="1" l="1"/>
  <c r="Y184" i="1"/>
  <c r="Z214" i="1"/>
  <c r="Y214" i="1"/>
  <c r="AA173" i="1"/>
  <c r="AA184" i="1" s="1"/>
  <c r="Z184" i="1"/>
  <c r="K169" i="1"/>
  <c r="N169" i="1" s="1"/>
  <c r="K168" i="1"/>
  <c r="P168" i="1" s="1"/>
  <c r="K167" i="1"/>
  <c r="X167" i="1" s="1"/>
  <c r="N167" i="1" l="1"/>
  <c r="R167" i="1"/>
  <c r="M167" i="1"/>
  <c r="O167" i="1"/>
  <c r="S167" i="1"/>
  <c r="S170" i="1" s="1"/>
  <c r="T167" i="1"/>
  <c r="T170" i="1" s="1"/>
  <c r="P167" i="1"/>
  <c r="Y167" i="1" s="1"/>
  <c r="Q167" i="1"/>
  <c r="U167" i="1"/>
  <c r="U170" i="1" s="1"/>
  <c r="W167" i="1"/>
  <c r="V167" i="1"/>
  <c r="R170" i="1"/>
  <c r="Q169" i="1"/>
  <c r="O169" i="1"/>
  <c r="R169" i="1"/>
  <c r="S169" i="1"/>
  <c r="T169" i="1"/>
  <c r="U169" i="1"/>
  <c r="V169" i="1"/>
  <c r="W169" i="1"/>
  <c r="X169" i="1"/>
  <c r="P169" i="1"/>
  <c r="M169" i="1"/>
  <c r="V168" i="1"/>
  <c r="O168" i="1"/>
  <c r="Q168" i="1"/>
  <c r="R168" i="1"/>
  <c r="S168" i="1"/>
  <c r="T168" i="1"/>
  <c r="U168" i="1"/>
  <c r="W168" i="1"/>
  <c r="X168" i="1"/>
  <c r="M168" i="1"/>
  <c r="N168" i="1"/>
  <c r="N170" i="1" s="1"/>
  <c r="O170" i="1" l="1"/>
  <c r="Q170" i="1"/>
  <c r="V170" i="1"/>
  <c r="P170" i="1"/>
  <c r="Z167" i="1"/>
  <c r="M170" i="1"/>
  <c r="X170" i="1"/>
  <c r="W170" i="1"/>
  <c r="Y169" i="1"/>
  <c r="Z169" i="1" s="1"/>
  <c r="AA169" i="1" s="1"/>
  <c r="Y168" i="1"/>
  <c r="Z168" i="1" s="1"/>
  <c r="AA168" i="1" s="1"/>
  <c r="Y170" i="1" l="1"/>
  <c r="AA167" i="1"/>
  <c r="AA170" i="1" s="1"/>
  <c r="Z170" i="1"/>
  <c r="L170" i="1"/>
  <c r="K170" i="1"/>
  <c r="J170" i="1"/>
  <c r="I170" i="1"/>
  <c r="Z155" i="1"/>
  <c r="AA155" i="1" s="1"/>
  <c r="Z144" i="1"/>
  <c r="AA144" i="1" s="1"/>
  <c r="Z108" i="1"/>
  <c r="AA108" i="1" s="1"/>
  <c r="Z103" i="1"/>
  <c r="AA103" i="1" s="1"/>
  <c r="Y162" i="1"/>
  <c r="Z162" i="1" s="1"/>
  <c r="AA162" i="1" s="1"/>
  <c r="Y155" i="1"/>
  <c r="Y154" i="1"/>
  <c r="Z154" i="1" s="1"/>
  <c r="AA154" i="1" s="1"/>
  <c r="Y153" i="1"/>
  <c r="Z153" i="1" s="1"/>
  <c r="AA153" i="1" s="1"/>
  <c r="Y152" i="1"/>
  <c r="Z152" i="1" s="1"/>
  <c r="AA152" i="1" s="1"/>
  <c r="Y151" i="1"/>
  <c r="Z151" i="1" s="1"/>
  <c r="AA151" i="1" s="1"/>
  <c r="Y150" i="1"/>
  <c r="Z150" i="1" s="1"/>
  <c r="AA150" i="1" s="1"/>
  <c r="Y149" i="1"/>
  <c r="Z149" i="1" s="1"/>
  <c r="AA149" i="1" s="1"/>
  <c r="Y148" i="1"/>
  <c r="Z148" i="1" s="1"/>
  <c r="AA148" i="1" s="1"/>
  <c r="Y147" i="1"/>
  <c r="Z147" i="1" s="1"/>
  <c r="AA147" i="1" s="1"/>
  <c r="Y146" i="1"/>
  <c r="Z146" i="1" s="1"/>
  <c r="AA146" i="1" s="1"/>
  <c r="Y145" i="1"/>
  <c r="Z145" i="1" s="1"/>
  <c r="AA145" i="1" s="1"/>
  <c r="Y144" i="1"/>
  <c r="Y143" i="1"/>
  <c r="Z143" i="1" s="1"/>
  <c r="AA143" i="1" s="1"/>
  <c r="Y142" i="1"/>
  <c r="Z142" i="1" s="1"/>
  <c r="AA142" i="1" s="1"/>
  <c r="Y141" i="1"/>
  <c r="Z141" i="1" s="1"/>
  <c r="AA141" i="1" s="1"/>
  <c r="Y140" i="1"/>
  <c r="Z140" i="1" s="1"/>
  <c r="AA140" i="1" s="1"/>
  <c r="Y139" i="1"/>
  <c r="Z139" i="1" s="1"/>
  <c r="AA139" i="1" s="1"/>
  <c r="Y138" i="1"/>
  <c r="Z138" i="1" s="1"/>
  <c r="AA138" i="1" s="1"/>
  <c r="Y137" i="1"/>
  <c r="Z137" i="1" s="1"/>
  <c r="AA137" i="1" s="1"/>
  <c r="Y136" i="1"/>
  <c r="Z136" i="1" s="1"/>
  <c r="AA136" i="1" s="1"/>
  <c r="Y135" i="1"/>
  <c r="Z135" i="1" s="1"/>
  <c r="AA135" i="1" s="1"/>
  <c r="Y134" i="1"/>
  <c r="Z134" i="1" s="1"/>
  <c r="AA134" i="1" s="1"/>
  <c r="Y133" i="1"/>
  <c r="Z133" i="1" s="1"/>
  <c r="AA133" i="1" s="1"/>
  <c r="Y132" i="1"/>
  <c r="Z132" i="1" s="1"/>
  <c r="AA132" i="1" s="1"/>
  <c r="Y131" i="1"/>
  <c r="Z131" i="1" s="1"/>
  <c r="AA131" i="1" s="1"/>
  <c r="Y130" i="1"/>
  <c r="Z130" i="1" s="1"/>
  <c r="AA130" i="1" s="1"/>
  <c r="Y129" i="1"/>
  <c r="Z129" i="1" s="1"/>
  <c r="AA129" i="1" s="1"/>
  <c r="Y128" i="1"/>
  <c r="Z128" i="1" s="1"/>
  <c r="AA128" i="1" s="1"/>
  <c r="Y127" i="1"/>
  <c r="Z127" i="1" s="1"/>
  <c r="AA127" i="1" s="1"/>
  <c r="Y126" i="1"/>
  <c r="Z126" i="1" s="1"/>
  <c r="AA126" i="1" s="1"/>
  <c r="Y125" i="1"/>
  <c r="Z125" i="1" s="1"/>
  <c r="AA125" i="1" s="1"/>
  <c r="Y124" i="1"/>
  <c r="Z124" i="1" s="1"/>
  <c r="AA124" i="1" s="1"/>
  <c r="Y123" i="1"/>
  <c r="Z123" i="1" s="1"/>
  <c r="AA123" i="1" s="1"/>
  <c r="Y122" i="1"/>
  <c r="Z122" i="1" s="1"/>
  <c r="AA122" i="1" s="1"/>
  <c r="Y121" i="1"/>
  <c r="Z121" i="1" s="1"/>
  <c r="AA121" i="1" s="1"/>
  <c r="Y120" i="1"/>
  <c r="Z120" i="1" s="1"/>
  <c r="AA120" i="1" s="1"/>
  <c r="Y119" i="1"/>
  <c r="Z119" i="1" s="1"/>
  <c r="AA119" i="1" s="1"/>
  <c r="Y118" i="1"/>
  <c r="Z118" i="1" s="1"/>
  <c r="AA118" i="1" s="1"/>
  <c r="Y117" i="1"/>
  <c r="Z117" i="1" s="1"/>
  <c r="AA117" i="1" s="1"/>
  <c r="Y116" i="1"/>
  <c r="Z116" i="1" s="1"/>
  <c r="AA116" i="1" s="1"/>
  <c r="Y115" i="1"/>
  <c r="Z115" i="1" s="1"/>
  <c r="AA115" i="1" s="1"/>
  <c r="Y114" i="1"/>
  <c r="Z114" i="1" s="1"/>
  <c r="AA114" i="1" s="1"/>
  <c r="Y113" i="1"/>
  <c r="Z113" i="1" s="1"/>
  <c r="AA113" i="1" s="1"/>
  <c r="Y112" i="1"/>
  <c r="Z112" i="1" s="1"/>
  <c r="AA112" i="1" s="1"/>
  <c r="Y111" i="1"/>
  <c r="Z111" i="1" s="1"/>
  <c r="AA111" i="1" s="1"/>
  <c r="Y110" i="1"/>
  <c r="Z110" i="1" s="1"/>
  <c r="AA110" i="1" s="1"/>
  <c r="Y109" i="1"/>
  <c r="Z109" i="1" s="1"/>
  <c r="AA109" i="1" s="1"/>
  <c r="Y108" i="1"/>
  <c r="Y107" i="1"/>
  <c r="Z107" i="1" s="1"/>
  <c r="AA107" i="1" s="1"/>
  <c r="Y106" i="1"/>
  <c r="Z106" i="1" s="1"/>
  <c r="AA106" i="1" s="1"/>
  <c r="Y105" i="1"/>
  <c r="Z105" i="1" s="1"/>
  <c r="AA105" i="1" s="1"/>
  <c r="Y104" i="1"/>
  <c r="Z104" i="1" s="1"/>
  <c r="AA104" i="1" s="1"/>
  <c r="Y103" i="1"/>
  <c r="Y102" i="1"/>
  <c r="Z102" i="1" s="1"/>
  <c r="AA102" i="1" s="1"/>
  <c r="Y101" i="1"/>
  <c r="Z101" i="1" s="1"/>
  <c r="AA101" i="1" s="1"/>
  <c r="Y100" i="1"/>
  <c r="Z100" i="1" s="1"/>
  <c r="AA100" i="1" s="1"/>
  <c r="Y99" i="1"/>
  <c r="Z99" i="1" s="1"/>
  <c r="AA99" i="1" s="1"/>
  <c r="Y98" i="1"/>
  <c r="Z98" i="1" s="1"/>
  <c r="AA98" i="1" s="1"/>
  <c r="Y97" i="1"/>
  <c r="Z97" i="1" s="1"/>
  <c r="AA97" i="1" s="1"/>
  <c r="L163" i="1"/>
  <c r="I163" i="1"/>
  <c r="J162" i="1"/>
  <c r="K162" i="1" s="1"/>
  <c r="J161" i="1"/>
  <c r="K161" i="1" s="1"/>
  <c r="X161" i="1" s="1"/>
  <c r="Y161" i="1" s="1"/>
  <c r="Z161" i="1" s="1"/>
  <c r="AA161" i="1" s="1"/>
  <c r="J160" i="1" l="1"/>
  <c r="K160" i="1" s="1"/>
  <c r="X160" i="1" s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I37" i="1"/>
  <c r="J37" i="1"/>
  <c r="K36" i="1"/>
  <c r="K35" i="1"/>
  <c r="K34" i="1"/>
  <c r="K33" i="1"/>
  <c r="K32" i="1"/>
  <c r="K31" i="1"/>
  <c r="K30" i="1"/>
  <c r="K29" i="1"/>
  <c r="K28" i="1"/>
  <c r="K27" i="1"/>
  <c r="K26" i="1"/>
  <c r="J159" i="1"/>
  <c r="K159" i="1" s="1"/>
  <c r="J158" i="1"/>
  <c r="S159" i="1" l="1"/>
  <c r="R159" i="1"/>
  <c r="Q159" i="1"/>
  <c r="O159" i="1"/>
  <c r="P159" i="1"/>
  <c r="W159" i="1"/>
  <c r="V159" i="1"/>
  <c r="U159" i="1"/>
  <c r="X159" i="1"/>
  <c r="T159" i="1"/>
  <c r="Y159" i="1" s="1"/>
  <c r="Z159" i="1" s="1"/>
  <c r="AA159" i="1" s="1"/>
  <c r="K37" i="1"/>
  <c r="U160" i="1"/>
  <c r="V160" i="1"/>
  <c r="W160" i="1"/>
  <c r="K158" i="1"/>
  <c r="J163" i="1"/>
  <c r="N159" i="1"/>
  <c r="N158" i="1"/>
  <c r="N163" i="1" s="1"/>
  <c r="M157" i="1"/>
  <c r="Y157" i="1" s="1"/>
  <c r="Z157" i="1" s="1"/>
  <c r="AA157" i="1" s="1"/>
  <c r="M156" i="1"/>
  <c r="K163" i="1" l="1"/>
  <c r="Q158" i="1"/>
  <c r="Q163" i="1" s="1"/>
  <c r="P158" i="1"/>
  <c r="P163" i="1" s="1"/>
  <c r="X158" i="1"/>
  <c r="X163" i="1" s="1"/>
  <c r="O158" i="1"/>
  <c r="O163" i="1" s="1"/>
  <c r="W158" i="1"/>
  <c r="W163" i="1" s="1"/>
  <c r="U158" i="1"/>
  <c r="U163" i="1" s="1"/>
  <c r="R158" i="1"/>
  <c r="R163" i="1" s="1"/>
  <c r="S158" i="1"/>
  <c r="S163" i="1" s="1"/>
  <c r="V158" i="1"/>
  <c r="V163" i="1" s="1"/>
  <c r="T158" i="1"/>
  <c r="T163" i="1" s="1"/>
  <c r="M163" i="1"/>
  <c r="Y156" i="1"/>
  <c r="Y160" i="1"/>
  <c r="Z160" i="1" s="1"/>
  <c r="AA160" i="1" s="1"/>
  <c r="X92" i="1"/>
  <c r="W92" i="1"/>
  <c r="V92" i="1"/>
  <c r="U92" i="1"/>
  <c r="T92" i="1"/>
  <c r="L92" i="1"/>
  <c r="K92" i="1"/>
  <c r="J92" i="1"/>
  <c r="I92" i="1"/>
  <c r="S92" i="1"/>
  <c r="U28" i="1"/>
  <c r="Q27" i="1"/>
  <c r="H36" i="1"/>
  <c r="V36" i="1" s="1"/>
  <c r="H35" i="1"/>
  <c r="T35" i="1" s="1"/>
  <c r="H34" i="1"/>
  <c r="R34" i="1" s="1"/>
  <c r="H33" i="1"/>
  <c r="X33" i="1" s="1"/>
  <c r="H32" i="1"/>
  <c r="V32" i="1" s="1"/>
  <c r="H31" i="1"/>
  <c r="T31" i="1" s="1"/>
  <c r="H30" i="1"/>
  <c r="U30" i="1" s="1"/>
  <c r="H29" i="1"/>
  <c r="T29" i="1" s="1"/>
  <c r="H28" i="1"/>
  <c r="P28" i="1" s="1"/>
  <c r="H27" i="1"/>
  <c r="X27" i="1" s="1"/>
  <c r="H26" i="1"/>
  <c r="S26" i="1" s="1"/>
  <c r="M26" i="1"/>
  <c r="Y158" i="1" l="1"/>
  <c r="Z158" i="1" s="1"/>
  <c r="AA158" i="1" s="1"/>
  <c r="Z156" i="1"/>
  <c r="Y163" i="1"/>
  <c r="Q92" i="1"/>
  <c r="W26" i="1"/>
  <c r="Q31" i="1"/>
  <c r="T26" i="1"/>
  <c r="O92" i="1"/>
  <c r="V26" i="1"/>
  <c r="N31" i="1"/>
  <c r="V31" i="1"/>
  <c r="W31" i="1"/>
  <c r="P33" i="1"/>
  <c r="S33" i="1"/>
  <c r="P26" i="1"/>
  <c r="P27" i="1"/>
  <c r="U31" i="1"/>
  <c r="S27" i="1"/>
  <c r="T27" i="1"/>
  <c r="X31" i="1"/>
  <c r="U27" i="1"/>
  <c r="P92" i="1"/>
  <c r="Q26" i="1"/>
  <c r="V27" i="1"/>
  <c r="Q33" i="1"/>
  <c r="U26" i="1"/>
  <c r="Q29" i="1"/>
  <c r="W29" i="1"/>
  <c r="N27" i="1"/>
  <c r="S30" i="1"/>
  <c r="X26" i="1"/>
  <c r="N30" i="1"/>
  <c r="P31" i="1"/>
  <c r="R92" i="1"/>
  <c r="N92" i="1"/>
  <c r="U33" i="1"/>
  <c r="O32" i="1"/>
  <c r="T33" i="1"/>
  <c r="Q32" i="1"/>
  <c r="V33" i="1"/>
  <c r="N32" i="1"/>
  <c r="R32" i="1"/>
  <c r="U34" i="1"/>
  <c r="N33" i="1"/>
  <c r="S32" i="1"/>
  <c r="Q35" i="1"/>
  <c r="N26" i="1"/>
  <c r="N36" i="1"/>
  <c r="T30" i="1"/>
  <c r="T32" i="1"/>
  <c r="W35" i="1"/>
  <c r="O26" i="1"/>
  <c r="O27" i="1"/>
  <c r="O31" i="1"/>
  <c r="W32" i="1"/>
  <c r="S36" i="1"/>
  <c r="X32" i="1"/>
  <c r="T36" i="1"/>
  <c r="O33" i="1"/>
  <c r="M92" i="1"/>
  <c r="R29" i="1"/>
  <c r="R28" i="1"/>
  <c r="V30" i="1"/>
  <c r="N28" i="1"/>
  <c r="S28" i="1"/>
  <c r="U29" i="1"/>
  <c r="W30" i="1"/>
  <c r="S34" i="1"/>
  <c r="U35" i="1"/>
  <c r="W36" i="1"/>
  <c r="N29" i="1"/>
  <c r="R27" i="1"/>
  <c r="T28" i="1"/>
  <c r="V29" i="1"/>
  <c r="X30" i="1"/>
  <c r="P32" i="1"/>
  <c r="R33" i="1"/>
  <c r="T34" i="1"/>
  <c r="V35" i="1"/>
  <c r="X36" i="1"/>
  <c r="X29" i="1"/>
  <c r="V34" i="1"/>
  <c r="X35" i="1"/>
  <c r="O30" i="1"/>
  <c r="O36" i="1"/>
  <c r="P30" i="1"/>
  <c r="X34" i="1"/>
  <c r="P36" i="1"/>
  <c r="R26" i="1"/>
  <c r="N34" i="1"/>
  <c r="W27" i="1"/>
  <c r="O29" i="1"/>
  <c r="Q30" i="1"/>
  <c r="S31" i="1"/>
  <c r="U32" i="1"/>
  <c r="W33" i="1"/>
  <c r="O35" i="1"/>
  <c r="Q36" i="1"/>
  <c r="V28" i="1"/>
  <c r="W28" i="1"/>
  <c r="W34" i="1"/>
  <c r="X28" i="1"/>
  <c r="R31" i="1"/>
  <c r="N35" i="1"/>
  <c r="P29" i="1"/>
  <c r="R30" i="1"/>
  <c r="P35" i="1"/>
  <c r="R36" i="1"/>
  <c r="O28" i="1"/>
  <c r="O34" i="1"/>
  <c r="P34" i="1"/>
  <c r="Q28" i="1"/>
  <c r="S29" i="1"/>
  <c r="Q34" i="1"/>
  <c r="S35" i="1"/>
  <c r="U36" i="1"/>
  <c r="R35" i="1"/>
  <c r="D21" i="2"/>
  <c r="AA156" i="1" l="1"/>
  <c r="AA163" i="1" s="1"/>
  <c r="Z163" i="1"/>
  <c r="T37" i="1"/>
  <c r="Y26" i="1"/>
  <c r="Z26" i="1" s="1"/>
  <c r="W37" i="1"/>
  <c r="U37" i="1"/>
  <c r="X37" i="1"/>
  <c r="O37" i="1"/>
  <c r="P37" i="1"/>
  <c r="S37" i="1"/>
  <c r="N37" i="1"/>
  <c r="Z92" i="1"/>
  <c r="AA92" i="1"/>
  <c r="R37" i="1"/>
  <c r="Q37" i="1"/>
  <c r="V37" i="1"/>
  <c r="Y92" i="1"/>
  <c r="AA26" i="1" l="1"/>
  <c r="M36" i="1"/>
  <c r="Y36" i="1" s="1"/>
  <c r="Z36" i="1" s="1"/>
  <c r="AA36" i="1" s="1"/>
  <c r="M35" i="1"/>
  <c r="Y35" i="1" s="1"/>
  <c r="Z35" i="1" s="1"/>
  <c r="AA35" i="1" s="1"/>
  <c r="M34" i="1"/>
  <c r="Y34" i="1" s="1"/>
  <c r="Z34" i="1" s="1"/>
  <c r="AA34" i="1" s="1"/>
  <c r="M33" i="1"/>
  <c r="Y33" i="1" s="1"/>
  <c r="Z33" i="1" s="1"/>
  <c r="AA33" i="1" s="1"/>
  <c r="M32" i="1"/>
  <c r="Y32" i="1" s="1"/>
  <c r="Z32" i="1" s="1"/>
  <c r="AA32" i="1" s="1"/>
  <c r="M31" i="1"/>
  <c r="Y31" i="1" s="1"/>
  <c r="Z31" i="1" s="1"/>
  <c r="AA31" i="1" s="1"/>
  <c r="M30" i="1"/>
  <c r="Y30" i="1" s="1"/>
  <c r="Z30" i="1" s="1"/>
  <c r="AA30" i="1" s="1"/>
  <c r="M29" i="1"/>
  <c r="Y29" i="1" s="1"/>
  <c r="Z29" i="1" s="1"/>
  <c r="AA29" i="1" s="1"/>
  <c r="M28" i="1"/>
  <c r="Y28" i="1" s="1"/>
  <c r="Z28" i="1" s="1"/>
  <c r="AA28" i="1" s="1"/>
  <c r="M27" i="1"/>
  <c r="Y27" i="1" s="1"/>
  <c r="L37" i="1"/>
  <c r="Z27" i="1" l="1"/>
  <c r="AA27" i="1" s="1"/>
  <c r="AA37" i="1" s="1"/>
  <c r="Y37" i="1"/>
  <c r="M37" i="1"/>
  <c r="Z37" i="1" l="1"/>
</calcChain>
</file>

<file path=xl/sharedStrings.xml><?xml version="1.0" encoding="utf-8"?>
<sst xmlns="http://schemas.openxmlformats.org/spreadsheetml/2006/main" count="709" uniqueCount="615">
  <si>
    <t>F. Calculo</t>
  </si>
  <si>
    <t>Clave</t>
  </si>
  <si>
    <t>Nombre</t>
  </si>
  <si>
    <t>Vida Util</t>
  </si>
  <si>
    <t>Valor Compra</t>
  </si>
  <si>
    <t>Valor Residual</t>
  </si>
  <si>
    <t>Valor Neto</t>
  </si>
  <si>
    <t>Dep. Anterior</t>
  </si>
  <si>
    <t>Dep. Acum.</t>
  </si>
  <si>
    <t>Valor por Depr.</t>
  </si>
  <si>
    <t>CABLE VIA MUROS</t>
  </si>
  <si>
    <t>    CABLE VIA-MUROS-VIAS-CANALES</t>
  </si>
  <si>
    <t>IIM-RLS-00005</t>
  </si>
  <si>
    <t>300 MT RIELES</t>
  </si>
  <si>
    <t>IIM-CO-00001</t>
  </si>
  <si>
    <t>COMEDOR</t>
  </si>
  <si>
    <t>IIM-OC-00001</t>
  </si>
  <si>
    <t>INVERSIONES INTERIOR MINA</t>
  </si>
  <si>
    <t>IIM-OC-00002</t>
  </si>
  <si>
    <t>INE-IEP-00002</t>
  </si>
  <si>
    <t>METRO CABLE ALTA TENSION 15 KV</t>
  </si>
  <si>
    <t>IIM-PO-00001</t>
  </si>
  <si>
    <t>POLVORIN</t>
  </si>
  <si>
    <t>IIM-IAM-00001</t>
  </si>
  <si>
    <t>PURIFICADOR DE AGUA</t>
  </si>
  <si>
    <t>IIM-RLS-00003</t>
  </si>
  <si>
    <t>RIELES</t>
  </si>
  <si>
    <t>IIM-RLS-00004</t>
  </si>
  <si>
    <t>IIM-RLS-00002</t>
  </si>
  <si>
    <t>IIM-RLS-00001</t>
  </si>
  <si>
    <t>RIELES 6M X 15 KL 996 M</t>
  </si>
  <si>
    <t>INE-IEP-00001</t>
  </si>
  <si>
    <t>TABLERO TRIFASICO CON BREAKER</t>
  </si>
  <si>
    <t>IIA-MSA-00001</t>
  </si>
  <si>
    <t>TANQUE</t>
  </si>
  <si>
    <t>INE-IEP-00003</t>
  </si>
  <si>
    <t>TRANSFORMADOR</t>
  </si>
  <si>
    <t>TOTAL GRUPO</t>
  </si>
  <si>
    <t>    EDIFICIOS</t>
  </si>
  <si>
    <t>EPA-EPA-00003</t>
  </si>
  <si>
    <t>GARITAS BATERIAS CAMPAMENTO</t>
  </si>
  <si>
    <t>EPA-EPA-00001</t>
  </si>
  <si>
    <t>MURO DE CONTENCION</t>
  </si>
  <si>
    <t>EC-EC-00001</t>
  </si>
  <si>
    <t>EDIFICIO CENTENARIO</t>
  </si>
  <si>
    <t>EPA-EPA-00005</t>
  </si>
  <si>
    <t>EPL-EPL-00001</t>
  </si>
  <si>
    <t>EDIFICIO PLANTA</t>
  </si>
  <si>
    <t>EPA-EPA-00004</t>
  </si>
  <si>
    <t>EDIFICIO PIQUE</t>
  </si>
  <si>
    <t>OFICINAS PIQUE AMERICANO</t>
  </si>
  <si>
    <t>EP-MSO-00001</t>
  </si>
  <si>
    <t>OFICINAS ADMINISTRATIVAS</t>
  </si>
  <si>
    <t>CCP-MSP-00001</t>
  </si>
  <si>
    <t>CONSTRUCCIONES ANO 2015</t>
  </si>
  <si>
    <t>CCP-MSP-00002</t>
  </si>
  <si>
    <t>CCP-MPL-00003</t>
  </si>
  <si>
    <t>CONSTRUCCION EN CURSO</t>
  </si>
  <si>
    <t>    MUEBLES Y ENSERES</t>
  </si>
  <si>
    <t>EOP-EOP-00001</t>
  </si>
  <si>
    <t>A/A LWC 123 CSMK1 12000 BTU</t>
  </si>
  <si>
    <t>EOP-EOP-00002</t>
  </si>
  <si>
    <t>A/A LWC 243 NCMJ0 24000 BTU</t>
  </si>
  <si>
    <t>EOP-EOP-00004</t>
  </si>
  <si>
    <t>AIRE ACONDICIONADO</t>
  </si>
  <si>
    <t>MEL-MSS-00077</t>
  </si>
  <si>
    <t>AIRE ACONDICIONADO SPLIT LG</t>
  </si>
  <si>
    <t>EOM-EOM-00001</t>
  </si>
  <si>
    <t>AIRE SPLIT 12000 BTU PARED</t>
  </si>
  <si>
    <t>MEP-MSS-00058</t>
  </si>
  <si>
    <t>ARCHIVADOR</t>
  </si>
  <si>
    <t>MEP-MSS-00068</t>
  </si>
  <si>
    <t>ARCHIVADOR AEREO</t>
  </si>
  <si>
    <t>MEP-MSS-00009</t>
  </si>
  <si>
    <t>ARCHIVADOR DE 4 CAJONES</t>
  </si>
  <si>
    <t>MEL-MSS-00080</t>
  </si>
  <si>
    <t>ARCHVIADOR VERTICAL 4 GAVETAS</t>
  </si>
  <si>
    <t>EOP-MS-00007</t>
  </si>
  <si>
    <t>CAJA AMPLIFICADORA</t>
  </si>
  <si>
    <t>MEP-MSS-00020</t>
  </si>
  <si>
    <t>CAJA FUERTE BLINDADA</t>
  </si>
  <si>
    <t>MEP-MSS-00021</t>
  </si>
  <si>
    <t>MEL-MSS-00074</t>
  </si>
  <si>
    <t>CAMA LITERA 1 1/2 PLAZA</t>
  </si>
  <si>
    <t>MEL-MSS-00003</t>
  </si>
  <si>
    <t>EOP-MS-00011</t>
  </si>
  <si>
    <t>CAMARA DIGITAL</t>
  </si>
  <si>
    <t>EOP-MS-00010</t>
  </si>
  <si>
    <t>CAMARA FOTOGRAFICA</t>
  </si>
  <si>
    <t>MEP-MSS-00035</t>
  </si>
  <si>
    <t>CASILLEROS PARA PERSONAL</t>
  </si>
  <si>
    <t>EOM-EOM-00002</t>
  </si>
  <si>
    <t>COMPUTADOR COMPLETO</t>
  </si>
  <si>
    <t>EOP-EOP-00005</t>
  </si>
  <si>
    <t>DISPENSADOR AGUA</t>
  </si>
  <si>
    <t>MEP-MSS-00002</t>
  </si>
  <si>
    <t>ESCRITORIO</t>
  </si>
  <si>
    <t>MEP-MSS-00067</t>
  </si>
  <si>
    <t>ESCRITORIO EN L 1,35X1,35</t>
  </si>
  <si>
    <t>MEP-MSS-00070</t>
  </si>
  <si>
    <t>ESTACION DE TRABAJO 1.35X1.35</t>
  </si>
  <si>
    <t>MEP-MSS-00071</t>
  </si>
  <si>
    <t>ESTACION DE TRABAJO JUNIOR</t>
  </si>
  <si>
    <t>MEL-MSS-00083</t>
  </si>
  <si>
    <t>ESTACION DE TRABAJO Y ARCHIVADORES DPTO TECNICO</t>
  </si>
  <si>
    <t>MEL-MSS-00085</t>
  </si>
  <si>
    <t>ESTACION TRABAJO SILLAS GIRATORIAS CONT Y RRHH</t>
  </si>
  <si>
    <t>EOP-MS-00005</t>
  </si>
  <si>
    <t>FOTOCOPIADORA</t>
  </si>
  <si>
    <t>MEP-MSS-00064</t>
  </si>
  <si>
    <t>FRANELOGRAFO 1.40 X 1,10 CM</t>
  </si>
  <si>
    <t>MEP-MSS-00061</t>
  </si>
  <si>
    <t>MESA</t>
  </si>
  <si>
    <t>MEP-MSS-00027</t>
  </si>
  <si>
    <t>MUEBLES DE OFICINA</t>
  </si>
  <si>
    <t>MEL-MSS-00079</t>
  </si>
  <si>
    <t>MUEBLES DE OFICINA - 5 PIEZAS</t>
  </si>
  <si>
    <t>MEP-MSS-00023</t>
  </si>
  <si>
    <t>MUEBLES DE SALA</t>
  </si>
  <si>
    <t>MEL-MSS-00082</t>
  </si>
  <si>
    <t>MUEBLES DPTO SEG INDUSTRIAL</t>
  </si>
  <si>
    <t>MEL-MSS-00081</t>
  </si>
  <si>
    <t>MUEBLES PARA ENFERMERIA Y SEG INDUSTRIAL</t>
  </si>
  <si>
    <t>MEL-MSS-00084</t>
  </si>
  <si>
    <t>MUEBLES USO ING VICTOR DELGADO</t>
  </si>
  <si>
    <t>MEP-MSS-00063</t>
  </si>
  <si>
    <t>PIZARRA 1.15 X 1.10 CM</t>
  </si>
  <si>
    <t>MEP-MSS-00062</t>
  </si>
  <si>
    <t>PIZARRA Y FRANELOGRAFO 1,55 X</t>
  </si>
  <si>
    <t>EOP-MS-00009</t>
  </si>
  <si>
    <t>PRINTER CONECTIVIDAD</t>
  </si>
  <si>
    <t>MEL-MSS-00075</t>
  </si>
  <si>
    <t>PUERTA CORREDIZA 6M 120 X 215</t>
  </si>
  <si>
    <t>MEL-MSS-00078</t>
  </si>
  <si>
    <t>PUERTA CORREDIZA 6M 194 X 296C</t>
  </si>
  <si>
    <t>ECM-MS-00003</t>
  </si>
  <si>
    <t>RELOJ BIOMETRICO 7 FACE</t>
  </si>
  <si>
    <t>MEP-MSS-00072</t>
  </si>
  <si>
    <t>REPISAS METALICAS</t>
  </si>
  <si>
    <t>MEP-MSS-00059</t>
  </si>
  <si>
    <t>REPISEROS</t>
  </si>
  <si>
    <t>MEL-MSS-00087</t>
  </si>
  <si>
    <t>SILLA EJECUTIVA</t>
  </si>
  <si>
    <t>MEP-MSS-00069</t>
  </si>
  <si>
    <t>MEL-MSS-00086</t>
  </si>
  <si>
    <t>MEL-MSS-00088</t>
  </si>
  <si>
    <t>SILLAS</t>
  </si>
  <si>
    <t>MEP-MSS-00073</t>
  </si>
  <si>
    <t>SILLAS SECRETARIA</t>
  </si>
  <si>
    <t>ECS-MSP-00006</t>
  </si>
  <si>
    <t>TELEFONO</t>
  </si>
  <si>
    <t>EOP-MS-00012</t>
  </si>
  <si>
    <t>TELEVISOR 20P</t>
  </si>
  <si>
    <t>EOP-MS-00013</t>
  </si>
  <si>
    <t>VENTILADOR</t>
  </si>
  <si>
    <t>MEP-MSS-00065</t>
  </si>
  <si>
    <t>VITRINA TIPO FRANELOGRAFO</t>
  </si>
  <si>
    <t>TOTAL Gasto Depr</t>
  </si>
  <si>
    <t>ENERO/25</t>
  </si>
  <si>
    <t>FEBRERO/25</t>
  </si>
  <si>
    <t>MARZO /25</t>
  </si>
  <si>
    <t>ABRIL/25</t>
  </si>
  <si>
    <t>MAYO/25</t>
  </si>
  <si>
    <t>JUNIO/25</t>
  </si>
  <si>
    <t>JULIO/25</t>
  </si>
  <si>
    <t>AGOTO/25</t>
  </si>
  <si>
    <t>SEPTIEMBRE/25</t>
  </si>
  <si>
    <t>OCTUBRE/25</t>
  </si>
  <si>
    <t>NOVIEMBRE/25</t>
  </si>
  <si>
    <t>DICIEMBRE/25</t>
  </si>
  <si>
    <t>F Compra</t>
  </si>
  <si>
    <t>ECP-MS-00040</t>
  </si>
  <si>
    <t>COMPUTADORA</t>
  </si>
  <si>
    <t>ECP-MS-00042</t>
  </si>
  <si>
    <t>ECP-MS-00032</t>
  </si>
  <si>
    <t>ECP-MS-00102</t>
  </si>
  <si>
    <t>COMPUTADOR INTEL DUAL CORE</t>
  </si>
  <si>
    <t>ECP-MS-00099</t>
  </si>
  <si>
    <t>IMPRESORA EPSON FX-890</t>
  </si>
  <si>
    <t>ECP-MS-00104</t>
  </si>
  <si>
    <t>ECP-MS-00105</t>
  </si>
  <si>
    <t>ECP-MS-00031</t>
  </si>
  <si>
    <t>REPLICAS Y UPS</t>
  </si>
  <si>
    <t>ECM-MS-00001</t>
  </si>
  <si>
    <t>ECM-MS-00002</t>
  </si>
  <si>
    <t>IMPRESORA EPSON FX 890</t>
  </si>
  <si>
    <t>ECP-MS-00025</t>
  </si>
  <si>
    <t>COMPUTADOR CORE 2 DUO</t>
  </si>
  <si>
    <t>ECP-MS-00004</t>
  </si>
  <si>
    <t>COMPUTADOR INTEL CORE 2 DUO</t>
  </si>
  <si>
    <t>ECC-ECC-00001</t>
  </si>
  <si>
    <t>COMPUTADOR INTELL CORE 2 DUO</t>
  </si>
  <si>
    <t>ECP-MS-00026</t>
  </si>
  <si>
    <t>COMPUTADOR INTEL CORE I3</t>
  </si>
  <si>
    <t>ECP-MS-00027</t>
  </si>
  <si>
    <t>COMPUTADOR INTEL COREI</t>
  </si>
  <si>
    <t>ECP-MS-00046</t>
  </si>
  <si>
    <t>COMPUTADOR</t>
  </si>
  <si>
    <t>ECP-MS-00100</t>
  </si>
  <si>
    <t>COMPUTADOR PARA OFICINAS PORTOVELO</t>
  </si>
  <si>
    <t>ECP-MS-00047</t>
  </si>
  <si>
    <t>COMPUTADOR PC-INTEL</t>
  </si>
  <si>
    <t>ECP-MS-00056</t>
  </si>
  <si>
    <t>IMPRESORA GRAN FORMATO HP</t>
  </si>
  <si>
    <t>ECP-MS-00101</t>
  </si>
  <si>
    <t>COMPUTADOR DPTO TECNICO</t>
  </si>
  <si>
    <t>ECP-MS-00061</t>
  </si>
  <si>
    <t>IMPRESORA HP</t>
  </si>
  <si>
    <t>ECP-MS-00063</t>
  </si>
  <si>
    <t>IMPRESORA</t>
  </si>
  <si>
    <t>ECP-MS-00064</t>
  </si>
  <si>
    <t>ECP-MS-00065</t>
  </si>
  <si>
    <t>ECP-ECC-00001</t>
  </si>
  <si>
    <t>CPU</t>
  </si>
  <si>
    <t>ECP-MS-00066</t>
  </si>
  <si>
    <t>ECP-MS-00067</t>
  </si>
  <si>
    <t>CPU CORE I 3</t>
  </si>
  <si>
    <t>ECP-MS-00069</t>
  </si>
  <si>
    <t>COMPUTADOR CORE I3</t>
  </si>
  <si>
    <t>ECP-MS-00068</t>
  </si>
  <si>
    <t>CPU CORE I3 DISCO 750 GB</t>
  </si>
  <si>
    <t>ECP-MS-00071</t>
  </si>
  <si>
    <t>COMPUTADOR CORE I5</t>
  </si>
  <si>
    <t>ECP-MS-00072</t>
  </si>
  <si>
    <t>IMPRESORA MULTIFUNCION</t>
  </si>
  <si>
    <t>ECM-MS-00004</t>
  </si>
  <si>
    <t>PROCESADOR CORE I5</t>
  </si>
  <si>
    <t>ECP-MS-00060</t>
  </si>
  <si>
    <t>COMPUTADOR ATHOM</t>
  </si>
  <si>
    <t>ECP-MS-00073</t>
  </si>
  <si>
    <t>COMPUTADOR PROCESADOR CORE I3</t>
  </si>
  <si>
    <t>ECP-MS-00074</t>
  </si>
  <si>
    <t>IMPRESORA MULTIFUNCION SIST CO</t>
  </si>
  <si>
    <t>ECP-MS-00075</t>
  </si>
  <si>
    <t>ECP-MS-00076</t>
  </si>
  <si>
    <t>CPU CORE I5 INTEL</t>
  </si>
  <si>
    <t>ECP-MS-00077</t>
  </si>
  <si>
    <t>ECP-MS-00078</t>
  </si>
  <si>
    <t>ECP-MS-00103</t>
  </si>
  <si>
    <t>SERVIDOR</t>
  </si>
  <si>
    <t>ECP-MS-00081</t>
  </si>
  <si>
    <t>COMPUTADORA INTEL CORE i7</t>
  </si>
  <si>
    <t>ECP-MS-00080</t>
  </si>
  <si>
    <t>IMPRESORA MULTIFUNCION EPSON</t>
  </si>
  <si>
    <t>ECP-MS-00082</t>
  </si>
  <si>
    <t>IMPRESORA MATRICIAL</t>
  </si>
  <si>
    <t>ECP-MS-00006</t>
  </si>
  <si>
    <t>CPU CORE I5 3.1 GHZ</t>
  </si>
  <si>
    <t>ECP-MS-00083</t>
  </si>
  <si>
    <t>CPU CORE I5-4460</t>
  </si>
  <si>
    <t>ECP-MS-00084</t>
  </si>
  <si>
    <t>ECP-MS-00008</t>
  </si>
  <si>
    <t>COMPUTADOR INTEL CORE I5</t>
  </si>
  <si>
    <t>ECP-MS-00007</t>
  </si>
  <si>
    <t>ECP-MS-00085</t>
  </si>
  <si>
    <t>ECP-MS-00086</t>
  </si>
  <si>
    <t>ECP-MS-00087</t>
  </si>
  <si>
    <t>ESTACION TOTAL</t>
  </si>
  <si>
    <t>ECP-MS-00088</t>
  </si>
  <si>
    <t>IMPRESORA SISTEMA TINTA CONTIN</t>
  </si>
  <si>
    <t>ECP-MS-00089</t>
  </si>
  <si>
    <t>COMPUTADOR INTEL 6TA</t>
  </si>
  <si>
    <t>ECP-MS-00090</t>
  </si>
  <si>
    <t>PROYECTOR</t>
  </si>
  <si>
    <t>ECP-MS-00091</t>
  </si>
  <si>
    <t>IMPRESORA TINTA CONTINUA</t>
  </si>
  <si>
    <t>ECP-MSP-00012</t>
  </si>
  <si>
    <t>SISTEMA DE CONTROL DE PERSONAL</t>
  </si>
  <si>
    <t>ECP-MS-00092</t>
  </si>
  <si>
    <t>MINI NOTEBOOK TOUCH</t>
  </si>
  <si>
    <t>ECP-MS-00093</t>
  </si>
  <si>
    <t>MINI NOTEBOOK</t>
  </si>
  <si>
    <t>ECP-MS-00094</t>
  </si>
  <si>
    <t>TABLET 10.1 CON TECLADO REMOV</t>
  </si>
  <si>
    <t>ECP-MS-00098</t>
  </si>
  <si>
    <t>COMPUTADOR COMPLETO DE ESCRITO</t>
  </si>
  <si>
    <t>ECP-MS-00097</t>
  </si>
  <si>
    <t>EQC-EQC-00063</t>
  </si>
  <si>
    <t>EQC-EQC-00064</t>
  </si>
  <si>
    <t>COMPUTADORA COMPLETA</t>
  </si>
  <si>
    <t> EQUIPOS DE COMPUTACION</t>
  </si>
  <si>
    <t>IMPRESORA MULTIFUNCION EPSON WORKFORCE PRO WF6590DWF</t>
  </si>
  <si>
    <t>EQC-EQC-00065</t>
  </si>
  <si>
    <t>COMPUTADORA DE ESCRITORIO GAMER INTEL CORE I714700 14</t>
  </si>
  <si>
    <t>EQC-EQC-00066</t>
  </si>
  <si>
    <t xml:space="preserve">COMPUTADOR COMPLETO  </t>
  </si>
  <si>
    <t>EQC-EQC-00067</t>
  </si>
  <si>
    <t>    INSTALACIONES</t>
  </si>
  <si>
    <t>EPB-EP-00001</t>
  </si>
  <si>
    <t>CONSTRUCCION PLANTA</t>
  </si>
  <si>
    <t>EPB-EP-00002</t>
  </si>
  <si>
    <t>INSTALACIONES EN PLANTA</t>
  </si>
  <si>
    <t>EPB-EP-00003</t>
  </si>
  <si>
    <t>GEOMEMBRANA</t>
  </si>
  <si>
    <t>    EQUIPOS DE COMUNICACION</t>
  </si>
  <si>
    <t>ECS-MSP-00001</t>
  </si>
  <si>
    <t>CAMARAS DE SEGURIDAD - CONFIG.</t>
  </si>
  <si>
    <t>ECS-MSP-00003</t>
  </si>
  <si>
    <t>UPS</t>
  </si>
  <si>
    <t>ECS-MSP-00012</t>
  </si>
  <si>
    <t>CAMARAS DE SEGURIDAD</t>
  </si>
  <si>
    <t>EPA-EPA-00002</t>
  </si>
  <si>
    <t>REPETIDORA</t>
  </si>
  <si>
    <t>ECS-MSP-00013</t>
  </si>
  <si>
    <t>EQUIPO DE ENLACE</t>
  </si>
  <si>
    <t>ECS-MSP-00007</t>
  </si>
  <si>
    <t>RADIO</t>
  </si>
  <si>
    <t>ECS-MSP-00008</t>
  </si>
  <si>
    <t>ECS-MSP-00009</t>
  </si>
  <si>
    <t>ECS-MSP-00010</t>
  </si>
  <si>
    <t>RADIO PORTATIL</t>
  </si>
  <si>
    <t>ECS-MSP-00011</t>
  </si>
  <si>
    <t>CAMARAS ANALOGICA</t>
  </si>
  <si>
    <t>ECS-MSP-00014</t>
  </si>
  <si>
    <t>CAMARA Y MINIVIDEO</t>
  </si>
  <si>
    <t>    REPUESTOS Y HERRAMIENTAS</t>
  </si>
  <si>
    <t>ETM-ETM-00002</t>
  </si>
  <si>
    <t>SOLDADORA 570 AMP</t>
  </si>
  <si>
    <t>ETM-ETM-00001</t>
  </si>
  <si>
    <t>SOLDADORA DE ARCO</t>
  </si>
  <si>
    <t>    VEHICULOS</t>
  </si>
  <si>
    <t>VPA-VPA-00001</t>
  </si>
  <si>
    <t>MOTOCICLETA HONDA</t>
  </si>
  <si>
    <t>    OTROS ACTIVOS</t>
  </si>
  <si>
    <t>EM-IM-00004</t>
  </si>
  <si>
    <t>BALANZA CON TERMILLERO ADULTO</t>
  </si>
  <si>
    <t>ESP-ESP-00001</t>
  </si>
  <si>
    <t>EQUIPO DE SEGURIDAD</t>
  </si>
  <si>
    <t>OAP-OAP-00003</t>
  </si>
  <si>
    <t>URNA A VIRGEN DEL CONSUELO</t>
  </si>
  <si>
    <t>ESP-ESP-00002</t>
  </si>
  <si>
    <t>PARARRAYOS</t>
  </si>
  <si>
    <t>EM-IM-00001</t>
  </si>
  <si>
    <t>INTRUMENTAL MEDICO</t>
  </si>
  <si>
    <t>ESP-ESP-00003</t>
  </si>
  <si>
    <t>SUJETADORES DE SEGURIDAD JUEGO</t>
  </si>
  <si>
    <t>ESP-ESP-00004</t>
  </si>
  <si>
    <t>TABLERO EASPINAL DE POLIMETRO</t>
  </si>
  <si>
    <t>EM-IM-00008</t>
  </si>
  <si>
    <t>BIOMBO 3 CUERPOS PLEGABLE</t>
  </si>
  <si>
    <t>EM-IM-00005</t>
  </si>
  <si>
    <t>CARRO DE CURACIONES 2 BANDEJAS</t>
  </si>
  <si>
    <t>EM-IM-00002</t>
  </si>
  <si>
    <t>CHASELONG DE EXAMINACION</t>
  </si>
  <si>
    <t>EM-IM-00009</t>
  </si>
  <si>
    <t>ESTERILIZADOR DIGITAL</t>
  </si>
  <si>
    <t>EM-IM-00003</t>
  </si>
  <si>
    <t>GRADILLA 2 PELDANOS PINTADA</t>
  </si>
  <si>
    <t>EM-IM-00006</t>
  </si>
  <si>
    <t>LAMPARA CUELLO DE GANZO LUZ H</t>
  </si>
  <si>
    <t>EM-IM-00007</t>
  </si>
  <si>
    <t>PORTA SUEROS DE PEDESTAL CROMA</t>
  </si>
  <si>
    <t>EM-IM-00010</t>
  </si>
  <si>
    <t>TABLERO ESPINAL DE POLIMERO</t>
  </si>
  <si>
    <t>EM-IM-00011</t>
  </si>
  <si>
    <t>CILINDRO 3 M. CUBICOS</t>
  </si>
  <si>
    <t>EM-IM-00013</t>
  </si>
  <si>
    <t>CILINDRO DE 6 M. CUBICOS</t>
  </si>
  <si>
    <t>EM-IM-00015</t>
  </si>
  <si>
    <t>EQUIPO MEDICO KM-8210 MR</t>
  </si>
  <si>
    <t>EM-IM-00014</t>
  </si>
  <si>
    <t>MASCARILLA RESPIRATORIA</t>
  </si>
  <si>
    <t>EM-IM-00012</t>
  </si>
  <si>
    <t>REGULADOR DE OXIGENO</t>
  </si>
  <si>
    <t>EM-EE-00001</t>
  </si>
  <si>
    <t>BOTIQUIN 80X30X120 CM</t>
  </si>
  <si>
    <t>ELP-EL-00001</t>
  </si>
  <si>
    <t>VITRINA FRIGORIFICA</t>
  </si>
  <si>
    <t>ELP-EL-00002</t>
  </si>
  <si>
    <t>ELP-EL-00003</t>
  </si>
  <si>
    <t>ELP-MS-00002</t>
  </si>
  <si>
    <t>BALANZA XP2U ULTRAMICRO</t>
  </si>
  <si>
    <t>    MAQUINARIA Y EQUIPOS</t>
  </si>
  <si>
    <t>MEP-MS-00023</t>
  </si>
  <si>
    <t>ACOPLE DE POLEA</t>
  </si>
  <si>
    <t>MEP-MS-00042</t>
  </si>
  <si>
    <t>BANDA TRANSPORTADORA</t>
  </si>
  <si>
    <t>MEP-MS-00041</t>
  </si>
  <si>
    <t>MEP-MS-00046</t>
  </si>
  <si>
    <t>BOMBA DE PULPA DE 2</t>
  </si>
  <si>
    <t>MEP-MS-00050</t>
  </si>
  <si>
    <t>CALDERO DE SOLUCION .</t>
  </si>
  <si>
    <t>MEP-MS-00055</t>
  </si>
  <si>
    <t>CAMARA NEUTRALIZACION DE GASES</t>
  </si>
  <si>
    <t>MEP-MS-00035</t>
  </si>
  <si>
    <t>COMPRESOR ELECTRICO 50HP</t>
  </si>
  <si>
    <t>MAQ-MST-00012</t>
  </si>
  <si>
    <t>COMPRESOR PORTATIL</t>
  </si>
  <si>
    <t>MEP-MS-00026</t>
  </si>
  <si>
    <t>EJE 150 MM DIAM. *380MM</t>
  </si>
  <si>
    <t>MEP-MS-00031</t>
  </si>
  <si>
    <t>FUENTE DE PODER 500 A</t>
  </si>
  <si>
    <t>MEP-MS-00062</t>
  </si>
  <si>
    <t>GENERADOR SR4 VOL 480</t>
  </si>
  <si>
    <t>MEP-MS-00047</t>
  </si>
  <si>
    <t>HIDROCICLON COMPLETO D6B 6</t>
  </si>
  <si>
    <t>MEP-MS-00022</t>
  </si>
  <si>
    <t>MOLINO DE BOLAS</t>
  </si>
  <si>
    <t>MEP-MS-00011</t>
  </si>
  <si>
    <t>MOTOR UPN - 100</t>
  </si>
  <si>
    <t>MEP-MS-00049</t>
  </si>
  <si>
    <t>PACHUCA NEUMATICA 8 * 9.5</t>
  </si>
  <si>
    <t>MAQ-MST-00009</t>
  </si>
  <si>
    <t>PULMONES P.AIRE CAP 2.5 M3</t>
  </si>
  <si>
    <t>MEP-MS-00003</t>
  </si>
  <si>
    <t>RODILLOS COMP. DE CARGA 18</t>
  </si>
  <si>
    <t>MEP-MS-00027</t>
  </si>
  <si>
    <t>TABLERO ELECTRICO CON CONTADOR</t>
  </si>
  <si>
    <t>MEP-MS-00048</t>
  </si>
  <si>
    <t>TANQUES METALICOS DE 9*9</t>
  </si>
  <si>
    <t>MEP-MS-00043</t>
  </si>
  <si>
    <t>TOLVA DE FINOS 100TM</t>
  </si>
  <si>
    <t>MEP-MS-00039</t>
  </si>
  <si>
    <t>TOLVA PARA GRUESOS CAP 50 T</t>
  </si>
  <si>
    <t>MEP-MS-00030</t>
  </si>
  <si>
    <t>TRANSFORMADOR 16718</t>
  </si>
  <si>
    <t>MEP-MS-00040</t>
  </si>
  <si>
    <t>TRITURADORA PRIMARIA DE MANDIB</t>
  </si>
  <si>
    <t>MAQ-MST-00004</t>
  </si>
  <si>
    <t>WINCHE ELEC. MOTOR 50 HP</t>
  </si>
  <si>
    <t>MEP-MS-00021</t>
  </si>
  <si>
    <t>ZARANDAS BRIVATORIAS 90*240</t>
  </si>
  <si>
    <t>MAQ-MST-00027</t>
  </si>
  <si>
    <t>MAQUINARIA</t>
  </si>
  <si>
    <t>MAQ-MST-00026</t>
  </si>
  <si>
    <t>MAQ-MST-00028</t>
  </si>
  <si>
    <t>HERRAMIENTAS VARIAS</t>
  </si>
  <si>
    <t>MAQ-MST-00029</t>
  </si>
  <si>
    <t>BOMBA PARA COMPRESORES</t>
  </si>
  <si>
    <t>MAQ-MST-00030</t>
  </si>
  <si>
    <t>COMPRA DE ACTIVOS</t>
  </si>
  <si>
    <t>MEP-MS-00073</t>
  </si>
  <si>
    <t>EQ. DE ABSORCION ATOMICO</t>
  </si>
  <si>
    <t>MEP-MS-00074</t>
  </si>
  <si>
    <t>MUFLA ELECTRONICA</t>
  </si>
  <si>
    <t>MAQ-MST-00098</t>
  </si>
  <si>
    <t>BALANZA ANALITICA 82 G/ 0.01mg</t>
  </si>
  <si>
    <t>MAQ-MST-00035</t>
  </si>
  <si>
    <t>TABLERO ELECTRICO</t>
  </si>
  <si>
    <t>MEC-MS-00005</t>
  </si>
  <si>
    <t>WINCHE TRIFASICO</t>
  </si>
  <si>
    <t>MEP-MS-00068</t>
  </si>
  <si>
    <t>BLOWER CON POLEAS Y BANDAS</t>
  </si>
  <si>
    <t>MAQ-MST-00013</t>
  </si>
  <si>
    <t>WINCHE ELEC. PARA 5 TON.</t>
  </si>
  <si>
    <t>MAQ-MST-00038</t>
  </si>
  <si>
    <t>WINCHE TRIFASICO DE 2 TONELADA</t>
  </si>
  <si>
    <t>MEP-MS-00072</t>
  </si>
  <si>
    <t>ELECTROIMAN</t>
  </si>
  <si>
    <t>MEP-MS-00063</t>
  </si>
  <si>
    <t>TRITURADORA DE MANDIBULAS</t>
  </si>
  <si>
    <t>MEP-MS-00077</t>
  </si>
  <si>
    <t>BLOWER</t>
  </si>
  <si>
    <t>MAQ-MST-00016</t>
  </si>
  <si>
    <t>BOMBA NEUMATICA</t>
  </si>
  <si>
    <t>MEP-MS-00080</t>
  </si>
  <si>
    <t>BASE PARA TRITURADORA</t>
  </si>
  <si>
    <t>MEP-MS-00082</t>
  </si>
  <si>
    <t>TANQUE PARA AGUA</t>
  </si>
  <si>
    <t>MAQ-MST-00017</t>
  </si>
  <si>
    <t>MAQUINA DE BARRENAR</t>
  </si>
  <si>
    <t>MEP-MS-00064</t>
  </si>
  <si>
    <t>TANQUE AGITADOR DE ACERO 14 X</t>
  </si>
  <si>
    <t>MAQ-MST-00053</t>
  </si>
  <si>
    <t>CARROS MINEROS</t>
  </si>
  <si>
    <t>MAQ-MST-00054</t>
  </si>
  <si>
    <t>TOLVA PIQUE</t>
  </si>
  <si>
    <t>VOLQUETE MERCEDES BENZ PLACA0BA 5437</t>
  </si>
  <si>
    <t>MAQ-MST-00020</t>
  </si>
  <si>
    <t>TRANSFORMADOR TRIFASICO</t>
  </si>
  <si>
    <t>MEP-MS-00065</t>
  </si>
  <si>
    <t>BALANZA ELECTRONICA</t>
  </si>
  <si>
    <t>MAQ-MST-00021</t>
  </si>
  <si>
    <t>COMPRESOR 300 HP</t>
  </si>
  <si>
    <t>MAQ-MST-00055</t>
  </si>
  <si>
    <t>VALDE PARA WINCHE</t>
  </si>
  <si>
    <t>MAQ-MST-00019</t>
  </si>
  <si>
    <t>MAQ-MST-00044</t>
  </si>
  <si>
    <t>BANCO DE CONDENSADORES</t>
  </si>
  <si>
    <t>MAQ-MST-00052</t>
  </si>
  <si>
    <t>WINCHE DE IZAJE</t>
  </si>
  <si>
    <t>MAQ-MST-00094</t>
  </si>
  <si>
    <t>BOMBA NEUMATICA PARA POZO INT MINA</t>
  </si>
  <si>
    <t>MAQ-MST-00060</t>
  </si>
  <si>
    <t>BOMBA BERKELEY B54574</t>
  </si>
  <si>
    <t>MEP-MS-00084</t>
  </si>
  <si>
    <t>TANQUE DE SOLUCION</t>
  </si>
  <si>
    <t>MEP-MS-00083</t>
  </si>
  <si>
    <t>BALANZA MS3002S METTLER B</t>
  </si>
  <si>
    <t>MAQ-MST-00061</t>
  </si>
  <si>
    <t>BOMBA WILDEN T82P</t>
  </si>
  <si>
    <t>MAQ-MST-00062</t>
  </si>
  <si>
    <t>ELECTROBAMBA 3HP</t>
  </si>
  <si>
    <t>MAQ-MST-00063</t>
  </si>
  <si>
    <t>SOLDADORAS PROFES 300 AMP</t>
  </si>
  <si>
    <t>MAQ-MST-00064</t>
  </si>
  <si>
    <t>WINCHE 2 VELOCIDADES</t>
  </si>
  <si>
    <t>MAQ-MST-00006</t>
  </si>
  <si>
    <t>BOMBA WILDEN T 15 3P</t>
  </si>
  <si>
    <t>MEP-MS-00085</t>
  </si>
  <si>
    <t>TANQUE AGITADOR</t>
  </si>
  <si>
    <t>MAQ-MST-00001</t>
  </si>
  <si>
    <t>MAQ-MST-00065</t>
  </si>
  <si>
    <t>VAGON MINA 1.5 TON</t>
  </si>
  <si>
    <t>MAQ-MST-00007</t>
  </si>
  <si>
    <t>BOMBA</t>
  </si>
  <si>
    <t>MEP-MS-00087</t>
  </si>
  <si>
    <t>MOLINO DE BOLAS REFORZADO</t>
  </si>
  <si>
    <t>MEP-MS-00086</t>
  </si>
  <si>
    <t>TRITURADORA DE MANDIBULA</t>
  </si>
  <si>
    <t>MAQ-MST-00095</t>
  </si>
  <si>
    <t>RADIOS</t>
  </si>
  <si>
    <t>MAQ-MST-00066</t>
  </si>
  <si>
    <t>BOMBA CENT 10 HP</t>
  </si>
  <si>
    <t>MEP-MS-00001</t>
  </si>
  <si>
    <t>MAQ-MST-00097</t>
  </si>
  <si>
    <t>MAQ-MST-00008</t>
  </si>
  <si>
    <t>BOMBA SUMERGIBLE NEUMATICA</t>
  </si>
  <si>
    <t>MAQ-MST-00002</t>
  </si>
  <si>
    <t>BOMBA WILDEN T15</t>
  </si>
  <si>
    <t>MAQ-MST-00003</t>
  </si>
  <si>
    <t>MAQUINAS YT</t>
  </si>
  <si>
    <t>BOMBA HORIZONTAL</t>
  </si>
  <si>
    <t>HIDROCICLON</t>
  </si>
  <si>
    <t>MAQ-MST-00067</t>
  </si>
  <si>
    <t>BOMBA CENTRIFUGA 10 HP</t>
  </si>
  <si>
    <t>MAQ-MST-00005</t>
  </si>
  <si>
    <t>BOMBA SUMERGIBLE TSURUMI</t>
  </si>
  <si>
    <t>BOMBAS NEUMATICAS</t>
  </si>
  <si>
    <t>MEP-MS-00089</t>
  </si>
  <si>
    <t>TANQUES 14X14</t>
  </si>
  <si>
    <t>MEP-MS-00088</t>
  </si>
  <si>
    <t>TORRES 3MX1M</t>
  </si>
  <si>
    <t>MAQ-MST-00096</t>
  </si>
  <si>
    <t>MAQ-MST-00068</t>
  </si>
  <si>
    <t>WINCHE 2 TON</t>
  </si>
  <si>
    <t>MAQ-MST-00069</t>
  </si>
  <si>
    <t>MAQ-MST-00070</t>
  </si>
  <si>
    <t>PULMON PARA AIRE</t>
  </si>
  <si>
    <t>MAQ-MST-00071</t>
  </si>
  <si>
    <t>VENTILADOR INDUSTRIAL</t>
  </si>
  <si>
    <t>MAQ-MST-00074</t>
  </si>
  <si>
    <t>LOCOMOTORA CTY 2.5 TON</t>
  </si>
  <si>
    <t>MAQ-MST-00073</t>
  </si>
  <si>
    <t>MAQ-MST-00072</t>
  </si>
  <si>
    <t>VENTILADORAXIAL BI-ETAPICO</t>
  </si>
  <si>
    <t>MAQ-MST-00075</t>
  </si>
  <si>
    <t>BOMBA DE DRENAJE GRINDEX</t>
  </si>
  <si>
    <t>MAQ-MST-00076</t>
  </si>
  <si>
    <t>BOMBA DRENAGE GRINDEX</t>
  </si>
  <si>
    <t>MAQ-MST-00077</t>
  </si>
  <si>
    <t>VENTILADOR DE MINA 2-5.5 KW</t>
  </si>
  <si>
    <t>MAQ-MST-00078</t>
  </si>
  <si>
    <t>VENTILADOR DE MINA JK58 2-11KW</t>
  </si>
  <si>
    <t>MAQ-MST-00079</t>
  </si>
  <si>
    <t>BOMBA 148 HP 460 V Y D</t>
  </si>
  <si>
    <t>MAQ-MST-00080</t>
  </si>
  <si>
    <t>BOMBA SUMERGIBLE</t>
  </si>
  <si>
    <t>MAQ-MST-00081</t>
  </si>
  <si>
    <t>PALAS NEUMATICAS</t>
  </si>
  <si>
    <t>MAQ-MST-00082</t>
  </si>
  <si>
    <t>MOTOR 40 HP 1750</t>
  </si>
  <si>
    <t>MAQ-MST-00083</t>
  </si>
  <si>
    <t>VENTILADOR DE MINA JK58 2-11 KV</t>
  </si>
  <si>
    <t>GENERADOR CON CABINA EXTREME</t>
  </si>
  <si>
    <t>MAQ-MST-00085</t>
  </si>
  <si>
    <t>5 CARROS MINEROS</t>
  </si>
  <si>
    <t>MAQ-MST-00084</t>
  </si>
  <si>
    <t>80 RUEDAS DE ACERO</t>
  </si>
  <si>
    <t>MAQ-MST-00087</t>
  </si>
  <si>
    <t>MAQ-MST-00086</t>
  </si>
  <si>
    <t>VENTILADOR DE 5.5 KV</t>
  </si>
  <si>
    <t>MAQ-MST-00088</t>
  </si>
  <si>
    <t>1 COMPRESOR SULLAR</t>
  </si>
  <si>
    <t>MEP-MS-00091</t>
  </si>
  <si>
    <t>MOLINO DE BOLAS 7X12</t>
  </si>
  <si>
    <t>MEP-MS-00090</t>
  </si>
  <si>
    <t>BOMBA HORIZONTAL DRL-C 4X3 SEL</t>
  </si>
  <si>
    <t>MAQ-MST-00089</t>
  </si>
  <si>
    <t>PALA NEUMATICA EMCO 21AC</t>
  </si>
  <si>
    <t>MEP-MS-00092</t>
  </si>
  <si>
    <t>RECTIFICADOR DE CORRIENTE</t>
  </si>
  <si>
    <t>MAQ-MST-00090</t>
  </si>
  <si>
    <t>LOCOMOTORA DE BATERIA DE 5 TONELADAS</t>
  </si>
  <si>
    <t>MAQ-MST-00092</t>
  </si>
  <si>
    <t>C.1 CONTROLADOR XE-90M PARA TARJETA DE COMPRSOR INGERSOLL RAND</t>
  </si>
  <si>
    <t>MAQ-MST-00091</t>
  </si>
  <si>
    <t>COMPRESOR TORNILLO R150-A125 200HP</t>
  </si>
  <si>
    <t>CARGADORA NEUMATICA EIMCO</t>
  </si>
  <si>
    <t>MAQ-MST-00093</t>
  </si>
  <si>
    <t>1LOCOMOTORA DE 5 NT</t>
  </si>
  <si>
    <t>LOCOMOTORA 8TON USO PIQUE AMERICANO</t>
  </si>
  <si>
    <t>2 BATERIAS INDUSTRIALES 90 V450 AMP MARCA VOLTA</t>
  </si>
  <si>
    <t> 2 BATERIAS INDUSTRIALES 90 V450 AMP MARCA VOLTA</t>
  </si>
  <si>
    <t> COMPRESOR TORNILLO RS220IE 300 HP RS220IEA125 USO PIQUE</t>
  </si>
  <si>
    <t>12 CARROS MINEROS V40</t>
  </si>
  <si>
    <t>TRANSFORMADOR PAD MOUNT TRIFÁSICO DE 1000 KVA 13200/480 CODO EMT DE 4.</t>
  </si>
  <si>
    <t>PALA NEUMATICA EIMCO21AC TRIDENT .</t>
  </si>
  <si>
    <t> 2 GENERADORES CUMMINS CLASE GENERADORTIPOESTACIONARIOMARCACUMMINS CPGMODELOGENERADOR ELECTRICO 1500KW 60HZVERSIONESTACIONARIOSERIEF25D012796MOTOR25503140COLORVERDE.</t>
  </si>
  <si>
    <t> LOCOMOTORA CTY5T6G. LOCOMOTORA SIN BATERIA</t>
  </si>
  <si>
    <t>1 CUERPO LOCOMOTORA CTY 8T6G.</t>
  </si>
  <si>
    <t> 3 CARROS MINEROS Z20 PARA USO CIA</t>
  </si>
  <si>
    <t>2 CARROS MINEROS V40-000000360</t>
  </si>
  <si>
    <t> PALA NEUMATICA EIMCO21AC TRIDENT .</t>
  </si>
  <si>
    <t>MAQ-MAQ-00122</t>
  </si>
  <si>
    <t>MAQ-MAQ-00124</t>
  </si>
  <si>
    <t>MAQ-MAQ-00123</t>
  </si>
  <si>
    <t>MAQ-MAQ-00125</t>
  </si>
  <si>
    <t>MAQ-MAQ-00126</t>
  </si>
  <si>
    <t>MAQ-MAQ-00127</t>
  </si>
  <si>
    <t>MAQ-MAQ-00128</t>
  </si>
  <si>
    <t>MAQ-MAQ-00129</t>
  </si>
  <si>
    <t>COMPAÑÍA MINESADCO</t>
  </si>
  <si>
    <t>CUADRO DDE DEPRECIACION 2025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</si>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</sst>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b/>
      <sz val="9"/>
      <color rgb="FF333333"/>
      <name val="Cambria"/>
      <family val="1"/>
    </font>
    <font>
      <b/>
      <sz val="8"/>
      <color theme="1"/>
      <name val="Cambria"/>
      <family val="1"/>
    </font>
    <font>
      <sz val="9"/>
      <color theme="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1EB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" fontId="0" fillId="0" borderId="0" xfId="0" applyNumberFormat="1"/>
    <xf numFmtId="4" fontId="0" fillId="2" borderId="0" xfId="0" applyNumberFormat="1" applyFill="1"/>
    <xf numFmtId="0" fontId="0" fillId="5" borderId="0" xfId="0" applyFill="1"/>
    <xf numFmtId="0" fontId="0" fillId="4" borderId="0" xfId="0" applyFill="1"/>
    <xf numFmtId="4" fontId="0" fillId="6" borderId="0" xfId="0" applyNumberFormat="1" applyFill="1"/>
    <xf numFmtId="4" fontId="0" fillId="3" borderId="0" xfId="0" applyNumberFormat="1" applyFill="1"/>
    <xf numFmtId="4" fontId="0" fillId="7" borderId="0" xfId="0" applyNumberFormat="1" applyFill="1"/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wrapText="1"/>
    </xf>
    <xf numFmtId="0" fontId="3" fillId="2" borderId="0" xfId="0" applyFont="1" applyFill="1" applyAlignment="1">
      <alignment horizontal="right" wrapText="1"/>
    </xf>
    <xf numFmtId="4" fontId="3" fillId="2" borderId="0" xfId="0" applyNumberFormat="1" applyFont="1" applyFill="1" applyAlignment="1">
      <alignment horizontal="right" wrapText="1"/>
    </xf>
    <xf numFmtId="0" fontId="2" fillId="5" borderId="0" xfId="0" applyFont="1" applyFill="1" applyAlignment="1">
      <alignment wrapText="1"/>
    </xf>
    <xf numFmtId="4" fontId="3" fillId="2" borderId="0" xfId="0" applyNumberFormat="1" applyFont="1" applyFill="1" applyAlignment="1">
      <alignment wrapText="1"/>
    </xf>
    <xf numFmtId="4" fontId="2" fillId="8" borderId="0" xfId="0" applyNumberFormat="1" applyFont="1" applyFill="1" applyAlignment="1">
      <alignment horizontal="right" wrapText="1"/>
    </xf>
    <xf numFmtId="4" fontId="2" fillId="2" borderId="0" xfId="0" applyNumberFormat="1" applyFont="1" applyFill="1" applyAlignment="1">
      <alignment horizontal="right" wrapText="1"/>
    </xf>
    <xf numFmtId="0" fontId="2" fillId="2" borderId="0" xfId="0" applyFont="1" applyFill="1"/>
    <xf numFmtId="4" fontId="3" fillId="2" borderId="0" xfId="0" applyNumberFormat="1" applyFont="1" applyFill="1"/>
    <xf numFmtId="14" fontId="3" fillId="2" borderId="0" xfId="0" applyNumberFormat="1" applyFont="1" applyFill="1" applyAlignment="1">
      <alignment wrapText="1"/>
    </xf>
    <xf numFmtId="0" fontId="2" fillId="5" borderId="0" xfId="0" applyFont="1" applyFill="1"/>
    <xf numFmtId="164" fontId="3" fillId="2" borderId="0" xfId="0" applyNumberFormat="1" applyFont="1" applyFill="1"/>
    <xf numFmtId="0" fontId="3" fillId="2" borderId="0" xfId="0" applyFont="1" applyFill="1" applyAlignment="1">
      <alignment horizontal="center"/>
    </xf>
    <xf numFmtId="4" fontId="2" fillId="2" borderId="0" xfId="0" applyNumberFormat="1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wrapText="1"/>
    </xf>
    <xf numFmtId="0" fontId="4" fillId="0" borderId="0" xfId="0" applyFont="1"/>
    <xf numFmtId="4" fontId="2" fillId="8" borderId="0" xfId="0" applyNumberFormat="1" applyFont="1" applyFill="1"/>
    <xf numFmtId="0" fontId="1" fillId="2" borderId="0" xfId="0" applyFont="1" applyFill="1"/>
    <xf numFmtId="0" fontId="5" fillId="2" borderId="1" xfId="0" applyFont="1" applyFill="1" applyBorder="1" applyAlignment="1">
      <alignment wrapText="1"/>
    </xf>
    <xf numFmtId="4" fontId="5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" fontId="6" fillId="2" borderId="0" xfId="0" applyNumberFormat="1" applyFont="1" applyFill="1"/>
    <xf numFmtId="4" fontId="2" fillId="9" borderId="0" xfId="0" applyNumberFormat="1" applyFont="1" applyFill="1" applyAlignment="1">
      <alignment horizontal="right" wrapText="1"/>
    </xf>
    <xf numFmtId="4" fontId="2" fillId="9" borderId="0" xfId="0" applyNumberFormat="1" applyFont="1" applyFill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5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FFFF"/>
      <color rgb="FFFFD1EB"/>
      <color rgb="FFFEE2FB"/>
      <color rgb="FFECF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393"/>
  <sheetViews>
    <sheetView showGridLines="0" tabSelected="1" topLeftCell="F1" zoomScale="85" zoomScaleNormal="85" workbookViewId="0">
      <selection activeCell="Z32" sqref="Z32"/>
    </sheetView>
  </sheetViews>
  <sheetFormatPr baseColWidth="10" defaultRowHeight="12" x14ac:dyDescent="0.2"/>
  <cols>
    <col min="1" max="1" width="4.28515625" style="9" customWidth="1"/>
    <col min="2" max="2" width="3.140625" style="9" customWidth="1"/>
    <col min="3" max="3" width="25.140625" style="9" customWidth="1"/>
    <col min="4" max="4" width="38.5703125" style="9" customWidth="1"/>
    <col min="5" max="5" width="12.7109375" style="22" customWidth="1"/>
    <col min="6" max="6" width="16.28515625" style="22" customWidth="1"/>
    <col min="7" max="8" width="8" style="9" customWidth="1"/>
    <col min="9" max="9" width="17.85546875" style="19" customWidth="1"/>
    <col min="10" max="10" width="18.28515625" style="19" customWidth="1"/>
    <col min="11" max="12" width="17.85546875" style="19" customWidth="1"/>
    <col min="13" max="25" width="13.7109375" style="19" customWidth="1"/>
    <col min="26" max="26" width="17.85546875" style="19" customWidth="1"/>
    <col min="27" max="27" width="21" style="19" customWidth="1"/>
    <col min="28" max="16384" width="11.42578125" style="9"/>
  </cols>
  <sheetData>
    <row r="3" spans="3:27" ht="12.75" x14ac:dyDescent="0.2">
      <c r="C3" s="29" t="s">
        <v>612</v>
      </c>
    </row>
    <row r="4" spans="3:27" ht="12.75" x14ac:dyDescent="0.2">
      <c r="C4" s="29" t="s">
        <v>613</v>
      </c>
    </row>
    <row r="6" spans="3:27" ht="23.25" customHeight="1" x14ac:dyDescent="0.2">
      <c r="C6" s="32" t="s">
        <v>1</v>
      </c>
      <c r="D6" s="30" t="s">
        <v>2</v>
      </c>
      <c r="E6" s="33" t="s">
        <v>170</v>
      </c>
      <c r="F6" s="33" t="s">
        <v>0</v>
      </c>
      <c r="G6" s="32" t="s">
        <v>3</v>
      </c>
      <c r="H6" s="30" t="s">
        <v>614</v>
      </c>
      <c r="I6" s="34" t="s">
        <v>4</v>
      </c>
      <c r="J6" s="34" t="s">
        <v>5</v>
      </c>
      <c r="K6" s="34" t="s">
        <v>6</v>
      </c>
      <c r="L6" s="34" t="s">
        <v>7</v>
      </c>
      <c r="M6" s="35" t="s">
        <v>158</v>
      </c>
      <c r="N6" s="35" t="s">
        <v>159</v>
      </c>
      <c r="O6" s="35" t="s">
        <v>160</v>
      </c>
      <c r="P6" s="35" t="s">
        <v>161</v>
      </c>
      <c r="Q6" s="35" t="s">
        <v>162</v>
      </c>
      <c r="R6" s="35" t="s">
        <v>163</v>
      </c>
      <c r="S6" s="35" t="s">
        <v>164</v>
      </c>
      <c r="T6" s="35" t="s">
        <v>165</v>
      </c>
      <c r="U6" s="35" t="s">
        <v>166</v>
      </c>
      <c r="V6" s="35" t="s">
        <v>167</v>
      </c>
      <c r="W6" s="35" t="s">
        <v>168</v>
      </c>
      <c r="X6" s="35" t="s">
        <v>169</v>
      </c>
      <c r="Y6" s="34" t="s">
        <v>157</v>
      </c>
      <c r="Z6" s="31" t="s">
        <v>8</v>
      </c>
      <c r="AA6" s="31" t="s">
        <v>9</v>
      </c>
    </row>
    <row r="7" spans="3:27" ht="15" hidden="1" customHeight="1" x14ac:dyDescent="0.2">
      <c r="C7" s="40" t="s">
        <v>10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spans="3:27" ht="15" hidden="1" customHeight="1" x14ac:dyDescent="0.2">
      <c r="C8" s="40" t="s">
        <v>11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3:27" hidden="1" x14ac:dyDescent="0.2">
      <c r="C9" s="10" t="s">
        <v>12</v>
      </c>
      <c r="D9" s="10" t="s">
        <v>13</v>
      </c>
      <c r="E9" s="11"/>
      <c r="F9" s="11">
        <v>44896</v>
      </c>
      <c r="G9" s="12">
        <v>10</v>
      </c>
      <c r="H9" s="12"/>
      <c r="I9" s="13">
        <v>9023.2099999999991</v>
      </c>
      <c r="J9" s="13">
        <v>902.32</v>
      </c>
      <c r="K9" s="13">
        <v>8120.89</v>
      </c>
      <c r="L9" s="13">
        <v>0</v>
      </c>
      <c r="M9" s="13">
        <v>203.01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>
        <v>203.01</v>
      </c>
      <c r="AA9" s="13">
        <v>8820.2000000000007</v>
      </c>
    </row>
    <row r="10" spans="3:27" hidden="1" x14ac:dyDescent="0.2">
      <c r="C10" s="10" t="s">
        <v>14</v>
      </c>
      <c r="D10" s="10" t="s">
        <v>15</v>
      </c>
      <c r="E10" s="11"/>
      <c r="F10" s="11">
        <v>40756</v>
      </c>
      <c r="G10" s="12">
        <v>8</v>
      </c>
      <c r="H10" s="12"/>
      <c r="I10" s="13">
        <v>1679.64</v>
      </c>
      <c r="J10" s="13">
        <v>167.96</v>
      </c>
      <c r="K10" s="13">
        <v>1511.68</v>
      </c>
      <c r="L10" s="13">
        <v>0</v>
      </c>
      <c r="M10" s="13">
        <v>126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>
        <v>126</v>
      </c>
      <c r="AA10" s="13">
        <v>1553.64</v>
      </c>
    </row>
    <row r="11" spans="3:27" hidden="1" x14ac:dyDescent="0.2">
      <c r="C11" s="10" t="s">
        <v>16</v>
      </c>
      <c r="D11" s="10" t="s">
        <v>17</v>
      </c>
      <c r="E11" s="11"/>
      <c r="F11" s="11">
        <v>42005</v>
      </c>
      <c r="G11" s="12">
        <v>21</v>
      </c>
      <c r="H11" s="12"/>
      <c r="I11" s="13">
        <v>35406.230000000003</v>
      </c>
      <c r="J11" s="13">
        <v>3540.62</v>
      </c>
      <c r="K11" s="13">
        <v>31865.61</v>
      </c>
      <c r="L11" s="13">
        <v>0</v>
      </c>
      <c r="M11" s="13">
        <v>1390.95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>
        <v>1390.95</v>
      </c>
      <c r="AA11" s="13">
        <v>34015.279999999999</v>
      </c>
    </row>
    <row r="12" spans="3:27" hidden="1" x14ac:dyDescent="0.2">
      <c r="C12" s="10" t="s">
        <v>18</v>
      </c>
      <c r="D12" s="10" t="s">
        <v>17</v>
      </c>
      <c r="E12" s="11"/>
      <c r="F12" s="11">
        <v>42370</v>
      </c>
      <c r="G12" s="12">
        <v>21</v>
      </c>
      <c r="H12" s="12"/>
      <c r="I12" s="13">
        <v>35255.26</v>
      </c>
      <c r="J12" s="13">
        <v>3525.53</v>
      </c>
      <c r="K12" s="13">
        <v>31729.73</v>
      </c>
      <c r="L12" s="13">
        <v>0</v>
      </c>
      <c r="M12" s="13">
        <v>1259.0999999999999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>
        <v>1259.0999999999999</v>
      </c>
      <c r="AA12" s="13">
        <v>33996.160000000003</v>
      </c>
    </row>
    <row r="13" spans="3:27" hidden="1" x14ac:dyDescent="0.2">
      <c r="C13" s="10" t="s">
        <v>19</v>
      </c>
      <c r="D13" s="10" t="s">
        <v>20</v>
      </c>
      <c r="E13" s="11"/>
      <c r="F13" s="11">
        <v>40210</v>
      </c>
      <c r="G13" s="12">
        <v>10</v>
      </c>
      <c r="H13" s="12"/>
      <c r="I13" s="13">
        <v>10495.8</v>
      </c>
      <c r="J13" s="13">
        <v>1049.58</v>
      </c>
      <c r="K13" s="13">
        <v>9446.2199999999993</v>
      </c>
      <c r="L13" s="13">
        <v>78.72</v>
      </c>
      <c r="M13" s="13">
        <v>708.48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>
        <v>787.2</v>
      </c>
      <c r="AA13" s="13">
        <v>9708.6</v>
      </c>
    </row>
    <row r="14" spans="3:27" hidden="1" x14ac:dyDescent="0.2">
      <c r="C14" s="10" t="s">
        <v>21</v>
      </c>
      <c r="D14" s="10" t="s">
        <v>22</v>
      </c>
      <c r="E14" s="11"/>
      <c r="F14" s="11">
        <v>40817</v>
      </c>
      <c r="G14" s="12">
        <v>8</v>
      </c>
      <c r="H14" s="12"/>
      <c r="I14" s="13">
        <v>7878.29</v>
      </c>
      <c r="J14" s="13">
        <v>787.83</v>
      </c>
      <c r="K14" s="13">
        <v>7090.46</v>
      </c>
      <c r="L14" s="13">
        <v>0</v>
      </c>
      <c r="M14" s="13">
        <v>590.88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>
        <v>590.88</v>
      </c>
      <c r="AA14" s="13">
        <v>7287.41</v>
      </c>
    </row>
    <row r="15" spans="3:27" hidden="1" x14ac:dyDescent="0.2">
      <c r="C15" s="10" t="s">
        <v>23</v>
      </c>
      <c r="D15" s="10" t="s">
        <v>24</v>
      </c>
      <c r="E15" s="11"/>
      <c r="F15" s="11">
        <v>40544</v>
      </c>
      <c r="G15" s="12">
        <v>5</v>
      </c>
      <c r="H15" s="12"/>
      <c r="I15" s="13">
        <v>3800.66</v>
      </c>
      <c r="J15" s="13">
        <v>380.07</v>
      </c>
      <c r="K15" s="13">
        <v>3420.59</v>
      </c>
      <c r="L15" s="13">
        <v>57.01</v>
      </c>
      <c r="M15" s="13">
        <v>285.05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>
        <v>342.06</v>
      </c>
      <c r="AA15" s="13">
        <v>3458.6</v>
      </c>
    </row>
    <row r="16" spans="3:27" hidden="1" x14ac:dyDescent="0.2">
      <c r="C16" s="10" t="s">
        <v>25</v>
      </c>
      <c r="D16" s="10" t="s">
        <v>26</v>
      </c>
      <c r="E16" s="11"/>
      <c r="F16" s="11">
        <v>40179</v>
      </c>
      <c r="G16" s="12">
        <v>8</v>
      </c>
      <c r="H16" s="12"/>
      <c r="I16" s="13">
        <v>13390</v>
      </c>
      <c r="J16" s="13">
        <v>1339</v>
      </c>
      <c r="K16" s="13">
        <v>12051</v>
      </c>
      <c r="L16" s="13">
        <v>125.53</v>
      </c>
      <c r="M16" s="13">
        <v>878.71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>
        <v>1004.24</v>
      </c>
      <c r="AA16" s="13">
        <v>12385.76</v>
      </c>
    </row>
    <row r="17" spans="3:27" hidden="1" x14ac:dyDescent="0.2">
      <c r="C17" s="10" t="s">
        <v>27</v>
      </c>
      <c r="D17" s="10" t="s">
        <v>26</v>
      </c>
      <c r="E17" s="11"/>
      <c r="F17" s="11">
        <v>41640</v>
      </c>
      <c r="G17" s="12">
        <v>21</v>
      </c>
      <c r="H17" s="12"/>
      <c r="I17" s="13">
        <v>81170.33</v>
      </c>
      <c r="J17" s="13">
        <v>8117.03</v>
      </c>
      <c r="K17" s="13">
        <v>73053.3</v>
      </c>
      <c r="L17" s="13">
        <v>0</v>
      </c>
      <c r="M17" s="13">
        <v>3478.68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>
        <v>3478.68</v>
      </c>
      <c r="AA17" s="13">
        <v>77691.649999999994</v>
      </c>
    </row>
    <row r="18" spans="3:27" hidden="1" x14ac:dyDescent="0.2">
      <c r="C18" s="10" t="s">
        <v>28</v>
      </c>
      <c r="D18" s="10" t="s">
        <v>26</v>
      </c>
      <c r="E18" s="11"/>
      <c r="F18" s="11">
        <v>40330</v>
      </c>
      <c r="G18" s="12">
        <v>8</v>
      </c>
      <c r="H18" s="12"/>
      <c r="I18" s="13">
        <v>17388.68</v>
      </c>
      <c r="J18" s="13">
        <v>1738.87</v>
      </c>
      <c r="K18" s="13">
        <v>15649.81</v>
      </c>
      <c r="L18" s="13">
        <v>163.02000000000001</v>
      </c>
      <c r="M18" s="13">
        <v>1304.1600000000001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>
        <v>1467.18</v>
      </c>
      <c r="AA18" s="13">
        <v>15921.5</v>
      </c>
    </row>
    <row r="19" spans="3:27" hidden="1" x14ac:dyDescent="0.2">
      <c r="C19" s="10" t="s">
        <v>29</v>
      </c>
      <c r="D19" s="10" t="s">
        <v>30</v>
      </c>
      <c r="E19" s="11"/>
      <c r="F19" s="11">
        <v>40238</v>
      </c>
      <c r="G19" s="12">
        <v>8</v>
      </c>
      <c r="H19" s="12"/>
      <c r="I19" s="13">
        <v>16007.38</v>
      </c>
      <c r="J19" s="13">
        <v>1600.74</v>
      </c>
      <c r="K19" s="13">
        <v>14406.64</v>
      </c>
      <c r="L19" s="13">
        <v>150.07</v>
      </c>
      <c r="M19" s="13">
        <v>1200.56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>
        <v>1350.63</v>
      </c>
      <c r="AA19" s="13">
        <v>14656.75</v>
      </c>
    </row>
    <row r="20" spans="3:27" hidden="1" x14ac:dyDescent="0.2">
      <c r="C20" s="10" t="s">
        <v>31</v>
      </c>
      <c r="D20" s="10" t="s">
        <v>32</v>
      </c>
      <c r="E20" s="11"/>
      <c r="F20" s="11">
        <v>39569</v>
      </c>
      <c r="G20" s="12">
        <v>10</v>
      </c>
      <c r="H20" s="12"/>
      <c r="I20" s="13">
        <v>1063</v>
      </c>
      <c r="J20" s="13">
        <v>106.3</v>
      </c>
      <c r="K20" s="13">
        <v>956.7</v>
      </c>
      <c r="L20" s="13">
        <v>7.97</v>
      </c>
      <c r="M20" s="13">
        <v>63.76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>
        <v>71.73</v>
      </c>
      <c r="AA20" s="13">
        <v>991.27</v>
      </c>
    </row>
    <row r="21" spans="3:27" hidden="1" x14ac:dyDescent="0.2">
      <c r="C21" s="10" t="s">
        <v>33</v>
      </c>
      <c r="D21" s="10" t="s">
        <v>34</v>
      </c>
      <c r="E21" s="11"/>
      <c r="F21" s="11">
        <v>41579</v>
      </c>
      <c r="G21" s="12">
        <v>10</v>
      </c>
      <c r="H21" s="12"/>
      <c r="I21" s="13">
        <v>348.06</v>
      </c>
      <c r="J21" s="13">
        <v>34.81</v>
      </c>
      <c r="K21" s="13">
        <v>313.25</v>
      </c>
      <c r="L21" s="13">
        <v>0</v>
      </c>
      <c r="M21" s="13">
        <v>26.1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>
        <v>26.1</v>
      </c>
      <c r="AA21" s="13">
        <v>321.95999999999998</v>
      </c>
    </row>
    <row r="22" spans="3:27" hidden="1" x14ac:dyDescent="0.2">
      <c r="C22" s="10" t="s">
        <v>35</v>
      </c>
      <c r="D22" s="10" t="s">
        <v>36</v>
      </c>
      <c r="E22" s="11"/>
      <c r="F22" s="11">
        <v>40425</v>
      </c>
      <c r="G22" s="12">
        <v>10</v>
      </c>
      <c r="H22" s="12"/>
      <c r="I22" s="13">
        <v>3172.5</v>
      </c>
      <c r="J22" s="13">
        <v>317.25</v>
      </c>
      <c r="K22" s="13">
        <v>2855.25</v>
      </c>
      <c r="L22" s="13">
        <v>23.79</v>
      </c>
      <c r="M22" s="13">
        <v>237.9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>
        <v>261.69</v>
      </c>
      <c r="AA22" s="13">
        <v>2910.81</v>
      </c>
    </row>
    <row r="23" spans="3:27" ht="15" hidden="1" customHeight="1" x14ac:dyDescent="0.2">
      <c r="C23" s="40" t="s">
        <v>37</v>
      </c>
      <c r="D23" s="40"/>
      <c r="E23" s="40"/>
      <c r="F23" s="40"/>
      <c r="G23" s="40"/>
      <c r="H23" s="40"/>
      <c r="I23" s="13">
        <v>236079.04</v>
      </c>
      <c r="J23" s="13">
        <v>23607.91</v>
      </c>
      <c r="K23" s="13">
        <v>212471.13</v>
      </c>
      <c r="L23" s="13">
        <v>606.11</v>
      </c>
      <c r="M23" s="13">
        <v>11753.34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>
        <v>12359.45</v>
      </c>
      <c r="AA23" s="13">
        <v>223719.59</v>
      </c>
    </row>
    <row r="24" spans="3:27" ht="4.5" customHeight="1" x14ac:dyDescent="0.2"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3:27" ht="15" customHeight="1" x14ac:dyDescent="0.2">
      <c r="C25" s="14" t="s">
        <v>38</v>
      </c>
      <c r="D25" s="10"/>
      <c r="E25" s="11"/>
      <c r="F25" s="11"/>
      <c r="G25" s="10"/>
      <c r="H25" s="10"/>
      <c r="I25" s="15"/>
      <c r="J25" s="15"/>
      <c r="K25" s="15"/>
      <c r="L25" s="10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3:27" ht="15" customHeight="1" x14ac:dyDescent="0.2">
      <c r="C26" s="10" t="s">
        <v>39</v>
      </c>
      <c r="D26" s="10" t="s">
        <v>40</v>
      </c>
      <c r="E26" s="11">
        <v>39114</v>
      </c>
      <c r="F26" s="11">
        <v>39114</v>
      </c>
      <c r="G26" s="12">
        <v>20</v>
      </c>
      <c r="H26" s="12">
        <f>+G26*12</f>
        <v>240</v>
      </c>
      <c r="I26" s="13">
        <v>4000</v>
      </c>
      <c r="J26" s="13">
        <v>400</v>
      </c>
      <c r="K26" s="13">
        <f t="shared" ref="K26:K36" si="0">+I26-J26</f>
        <v>3600</v>
      </c>
      <c r="L26" s="13">
        <v>3225</v>
      </c>
      <c r="M26" s="13">
        <f>SUM(K26*5%)/12</f>
        <v>15</v>
      </c>
      <c r="N26" s="13">
        <f t="shared" ref="N26:X36" si="1">+$K26/$H26</f>
        <v>15</v>
      </c>
      <c r="O26" s="13">
        <f t="shared" si="1"/>
        <v>15</v>
      </c>
      <c r="P26" s="13">
        <f t="shared" si="1"/>
        <v>15</v>
      </c>
      <c r="Q26" s="13">
        <f t="shared" si="1"/>
        <v>15</v>
      </c>
      <c r="R26" s="13">
        <f t="shared" si="1"/>
        <v>15</v>
      </c>
      <c r="S26" s="13">
        <f t="shared" si="1"/>
        <v>15</v>
      </c>
      <c r="T26" s="13">
        <f t="shared" si="1"/>
        <v>15</v>
      </c>
      <c r="U26" s="13">
        <f t="shared" si="1"/>
        <v>15</v>
      </c>
      <c r="V26" s="13">
        <f t="shared" si="1"/>
        <v>15</v>
      </c>
      <c r="W26" s="13">
        <f t="shared" si="1"/>
        <v>15</v>
      </c>
      <c r="X26" s="13">
        <f t="shared" si="1"/>
        <v>15</v>
      </c>
      <c r="Y26" s="13">
        <f>SUM(M26:X26)</f>
        <v>180</v>
      </c>
      <c r="Z26" s="13">
        <f>+L26+Y26</f>
        <v>3405</v>
      </c>
      <c r="AA26" s="13">
        <f>+I26-Z26</f>
        <v>595</v>
      </c>
    </row>
    <row r="27" spans="3:27" ht="15" customHeight="1" x14ac:dyDescent="0.2">
      <c r="C27" s="10" t="s">
        <v>41</v>
      </c>
      <c r="D27" s="10" t="s">
        <v>42</v>
      </c>
      <c r="E27" s="11">
        <v>39114</v>
      </c>
      <c r="F27" s="11">
        <v>39114</v>
      </c>
      <c r="G27" s="12">
        <v>20</v>
      </c>
      <c r="H27" s="12">
        <f t="shared" ref="H27:H36" si="2">+G27*12</f>
        <v>240</v>
      </c>
      <c r="I27" s="13">
        <v>4000</v>
      </c>
      <c r="J27" s="13">
        <v>400</v>
      </c>
      <c r="K27" s="13">
        <f t="shared" si="0"/>
        <v>3600</v>
      </c>
      <c r="L27" s="13">
        <v>3225</v>
      </c>
      <c r="M27" s="13">
        <f t="shared" ref="M27:M36" si="3">SUM(K27*5%)/12</f>
        <v>15</v>
      </c>
      <c r="N27" s="13">
        <f t="shared" si="1"/>
        <v>15</v>
      </c>
      <c r="O27" s="13">
        <f t="shared" si="1"/>
        <v>15</v>
      </c>
      <c r="P27" s="13">
        <f t="shared" si="1"/>
        <v>15</v>
      </c>
      <c r="Q27" s="13">
        <f t="shared" si="1"/>
        <v>15</v>
      </c>
      <c r="R27" s="13">
        <f t="shared" si="1"/>
        <v>15</v>
      </c>
      <c r="S27" s="13">
        <f t="shared" si="1"/>
        <v>15</v>
      </c>
      <c r="T27" s="13">
        <f t="shared" si="1"/>
        <v>15</v>
      </c>
      <c r="U27" s="13">
        <f t="shared" si="1"/>
        <v>15</v>
      </c>
      <c r="V27" s="13">
        <f t="shared" si="1"/>
        <v>15</v>
      </c>
      <c r="W27" s="13">
        <f t="shared" si="1"/>
        <v>15</v>
      </c>
      <c r="X27" s="13">
        <f t="shared" si="1"/>
        <v>15</v>
      </c>
      <c r="Y27" s="13">
        <f t="shared" ref="Y27:Y36" si="4">SUM(M27:X27)</f>
        <v>180</v>
      </c>
      <c r="Z27" s="13">
        <f>+L27+Y27</f>
        <v>3405</v>
      </c>
      <c r="AA27" s="13">
        <f t="shared" ref="AA27:AA36" si="5">+I27-Z27</f>
        <v>595</v>
      </c>
    </row>
    <row r="28" spans="3:27" ht="15" customHeight="1" x14ac:dyDescent="0.2">
      <c r="C28" s="10" t="s">
        <v>43</v>
      </c>
      <c r="D28" s="10" t="s">
        <v>44</v>
      </c>
      <c r="E28" s="11">
        <v>40179</v>
      </c>
      <c r="F28" s="11">
        <v>40179</v>
      </c>
      <c r="G28" s="12">
        <v>20</v>
      </c>
      <c r="H28" s="12">
        <f t="shared" si="2"/>
        <v>240</v>
      </c>
      <c r="I28" s="13">
        <v>11808.23</v>
      </c>
      <c r="J28" s="13">
        <v>1180.82</v>
      </c>
      <c r="K28" s="13">
        <f t="shared" si="0"/>
        <v>10627.41</v>
      </c>
      <c r="L28" s="13">
        <v>7970.56</v>
      </c>
      <c r="M28" s="13">
        <f t="shared" si="3"/>
        <v>44.280875000000002</v>
      </c>
      <c r="N28" s="13">
        <f t="shared" si="1"/>
        <v>44.280875000000002</v>
      </c>
      <c r="O28" s="13">
        <f t="shared" si="1"/>
        <v>44.280875000000002</v>
      </c>
      <c r="P28" s="13">
        <f t="shared" si="1"/>
        <v>44.280875000000002</v>
      </c>
      <c r="Q28" s="13">
        <f t="shared" si="1"/>
        <v>44.280875000000002</v>
      </c>
      <c r="R28" s="13">
        <f t="shared" si="1"/>
        <v>44.280875000000002</v>
      </c>
      <c r="S28" s="13">
        <f t="shared" si="1"/>
        <v>44.280875000000002</v>
      </c>
      <c r="T28" s="13">
        <f t="shared" si="1"/>
        <v>44.280875000000002</v>
      </c>
      <c r="U28" s="13">
        <f t="shared" si="1"/>
        <v>44.280875000000002</v>
      </c>
      <c r="V28" s="13">
        <f t="shared" si="1"/>
        <v>44.280875000000002</v>
      </c>
      <c r="W28" s="13">
        <f t="shared" si="1"/>
        <v>44.280875000000002</v>
      </c>
      <c r="X28" s="13">
        <f t="shared" si="1"/>
        <v>44.280875000000002</v>
      </c>
      <c r="Y28" s="13">
        <f t="shared" si="4"/>
        <v>531.37049999999988</v>
      </c>
      <c r="Z28" s="13">
        <f t="shared" ref="Z28:Z36" si="6">+L28+Y28</f>
        <v>8501.9305000000004</v>
      </c>
      <c r="AA28" s="13">
        <f t="shared" si="5"/>
        <v>3306.2994999999992</v>
      </c>
    </row>
    <row r="29" spans="3:27" ht="15" customHeight="1" x14ac:dyDescent="0.2">
      <c r="C29" s="10" t="s">
        <v>45</v>
      </c>
      <c r="D29" s="10" t="s">
        <v>22</v>
      </c>
      <c r="E29" s="11">
        <v>40179</v>
      </c>
      <c r="F29" s="11">
        <v>40179</v>
      </c>
      <c r="G29" s="12">
        <v>20</v>
      </c>
      <c r="H29" s="12">
        <f t="shared" si="2"/>
        <v>240</v>
      </c>
      <c r="I29" s="13">
        <v>3336.36</v>
      </c>
      <c r="J29" s="13">
        <v>333.64</v>
      </c>
      <c r="K29" s="13">
        <f t="shared" si="0"/>
        <v>3002.7200000000003</v>
      </c>
      <c r="L29" s="13">
        <v>2252.04</v>
      </c>
      <c r="M29" s="13">
        <f t="shared" si="3"/>
        <v>12.511333333333335</v>
      </c>
      <c r="N29" s="13">
        <f t="shared" si="1"/>
        <v>12.511333333333335</v>
      </c>
      <c r="O29" s="13">
        <f t="shared" si="1"/>
        <v>12.511333333333335</v>
      </c>
      <c r="P29" s="13">
        <f t="shared" si="1"/>
        <v>12.511333333333335</v>
      </c>
      <c r="Q29" s="13">
        <f t="shared" si="1"/>
        <v>12.511333333333335</v>
      </c>
      <c r="R29" s="13">
        <f t="shared" si="1"/>
        <v>12.511333333333335</v>
      </c>
      <c r="S29" s="13">
        <f t="shared" si="1"/>
        <v>12.511333333333335</v>
      </c>
      <c r="T29" s="13">
        <f t="shared" si="1"/>
        <v>12.511333333333335</v>
      </c>
      <c r="U29" s="13">
        <f t="shared" si="1"/>
        <v>12.511333333333335</v>
      </c>
      <c r="V29" s="13">
        <f t="shared" si="1"/>
        <v>12.511333333333335</v>
      </c>
      <c r="W29" s="13">
        <f t="shared" si="1"/>
        <v>12.511333333333335</v>
      </c>
      <c r="X29" s="13">
        <f t="shared" si="1"/>
        <v>12.511333333333335</v>
      </c>
      <c r="Y29" s="13">
        <f t="shared" si="4"/>
        <v>150.13600000000005</v>
      </c>
      <c r="Z29" s="13">
        <f t="shared" si="6"/>
        <v>2402.1759999999999</v>
      </c>
      <c r="AA29" s="13">
        <f t="shared" si="5"/>
        <v>934.1840000000002</v>
      </c>
    </row>
    <row r="30" spans="3:27" ht="15" customHeight="1" x14ac:dyDescent="0.2">
      <c r="C30" s="10" t="s">
        <v>46</v>
      </c>
      <c r="D30" s="10" t="s">
        <v>47</v>
      </c>
      <c r="E30" s="11">
        <v>40200</v>
      </c>
      <c r="F30" s="11">
        <v>40210</v>
      </c>
      <c r="G30" s="12">
        <v>20</v>
      </c>
      <c r="H30" s="12">
        <f t="shared" si="2"/>
        <v>240</v>
      </c>
      <c r="I30" s="13">
        <v>34460.410000000003</v>
      </c>
      <c r="J30" s="13">
        <v>3446.04</v>
      </c>
      <c r="K30" s="13">
        <f t="shared" si="0"/>
        <v>31014.370000000003</v>
      </c>
      <c r="L30" s="13">
        <v>23131.55</v>
      </c>
      <c r="M30" s="13">
        <f t="shared" si="3"/>
        <v>129.22654166666669</v>
      </c>
      <c r="N30" s="13">
        <f t="shared" si="1"/>
        <v>129.22654166666669</v>
      </c>
      <c r="O30" s="13">
        <f t="shared" si="1"/>
        <v>129.22654166666669</v>
      </c>
      <c r="P30" s="13">
        <f t="shared" si="1"/>
        <v>129.22654166666669</v>
      </c>
      <c r="Q30" s="13">
        <f t="shared" si="1"/>
        <v>129.22654166666669</v>
      </c>
      <c r="R30" s="13">
        <f t="shared" si="1"/>
        <v>129.22654166666669</v>
      </c>
      <c r="S30" s="13">
        <f t="shared" si="1"/>
        <v>129.22654166666669</v>
      </c>
      <c r="T30" s="13">
        <f t="shared" si="1"/>
        <v>129.22654166666669</v>
      </c>
      <c r="U30" s="13">
        <f t="shared" si="1"/>
        <v>129.22654166666669</v>
      </c>
      <c r="V30" s="13">
        <f t="shared" si="1"/>
        <v>129.22654166666669</v>
      </c>
      <c r="W30" s="13">
        <f t="shared" si="1"/>
        <v>129.22654166666669</v>
      </c>
      <c r="X30" s="13">
        <f t="shared" si="1"/>
        <v>129.22654166666669</v>
      </c>
      <c r="Y30" s="13">
        <f t="shared" si="4"/>
        <v>1550.7185000000002</v>
      </c>
      <c r="Z30" s="13">
        <f t="shared" si="6"/>
        <v>24682.268499999998</v>
      </c>
      <c r="AA30" s="13">
        <f t="shared" si="5"/>
        <v>9778.1415000000052</v>
      </c>
    </row>
    <row r="31" spans="3:27" ht="15" customHeight="1" x14ac:dyDescent="0.2">
      <c r="C31" s="10" t="s">
        <v>48</v>
      </c>
      <c r="D31" s="10" t="s">
        <v>49</v>
      </c>
      <c r="E31" s="11">
        <v>40532</v>
      </c>
      <c r="F31" s="11">
        <v>40544</v>
      </c>
      <c r="G31" s="12">
        <v>20</v>
      </c>
      <c r="H31" s="12">
        <f t="shared" si="2"/>
        <v>240</v>
      </c>
      <c r="I31" s="13">
        <v>24256.46</v>
      </c>
      <c r="J31" s="13">
        <v>2425.65</v>
      </c>
      <c r="K31" s="13">
        <f t="shared" si="0"/>
        <v>21830.809999999998</v>
      </c>
      <c r="L31" s="13">
        <v>15281.57</v>
      </c>
      <c r="M31" s="13">
        <f t="shared" si="3"/>
        <v>90.96170833333332</v>
      </c>
      <c r="N31" s="13">
        <f t="shared" si="1"/>
        <v>90.96170833333332</v>
      </c>
      <c r="O31" s="13">
        <f t="shared" si="1"/>
        <v>90.96170833333332</v>
      </c>
      <c r="P31" s="13">
        <f t="shared" si="1"/>
        <v>90.96170833333332</v>
      </c>
      <c r="Q31" s="13">
        <f t="shared" si="1"/>
        <v>90.96170833333332</v>
      </c>
      <c r="R31" s="13">
        <f t="shared" si="1"/>
        <v>90.96170833333332</v>
      </c>
      <c r="S31" s="13">
        <f t="shared" si="1"/>
        <v>90.96170833333332</v>
      </c>
      <c r="T31" s="13">
        <f t="shared" si="1"/>
        <v>90.96170833333332</v>
      </c>
      <c r="U31" s="13">
        <f t="shared" si="1"/>
        <v>90.96170833333332</v>
      </c>
      <c r="V31" s="13">
        <f t="shared" si="1"/>
        <v>90.96170833333332</v>
      </c>
      <c r="W31" s="13">
        <f t="shared" si="1"/>
        <v>90.96170833333332</v>
      </c>
      <c r="X31" s="13">
        <f t="shared" si="1"/>
        <v>90.96170833333332</v>
      </c>
      <c r="Y31" s="13">
        <f t="shared" si="4"/>
        <v>1091.5404999999996</v>
      </c>
      <c r="Z31" s="13">
        <f t="shared" si="6"/>
        <v>16373.110499999999</v>
      </c>
      <c r="AA31" s="13">
        <f t="shared" si="5"/>
        <v>7883.3495000000003</v>
      </c>
    </row>
    <row r="32" spans="3:27" ht="15" customHeight="1" x14ac:dyDescent="0.2">
      <c r="C32" s="10" t="s">
        <v>41</v>
      </c>
      <c r="D32" s="10" t="s">
        <v>50</v>
      </c>
      <c r="E32" s="11">
        <v>40817</v>
      </c>
      <c r="F32" s="11">
        <v>40817</v>
      </c>
      <c r="G32" s="12">
        <v>20</v>
      </c>
      <c r="H32" s="12">
        <f t="shared" si="2"/>
        <v>240</v>
      </c>
      <c r="I32" s="13">
        <v>11577.05</v>
      </c>
      <c r="J32" s="13">
        <v>1157.71</v>
      </c>
      <c r="K32" s="13">
        <f t="shared" si="0"/>
        <v>10419.34</v>
      </c>
      <c r="L32" s="13">
        <v>6902.82</v>
      </c>
      <c r="M32" s="13">
        <f t="shared" si="3"/>
        <v>43.413916666666665</v>
      </c>
      <c r="N32" s="13">
        <f t="shared" si="1"/>
        <v>43.413916666666665</v>
      </c>
      <c r="O32" s="13">
        <f t="shared" si="1"/>
        <v>43.413916666666665</v>
      </c>
      <c r="P32" s="13">
        <f t="shared" si="1"/>
        <v>43.413916666666665</v>
      </c>
      <c r="Q32" s="13">
        <f t="shared" si="1"/>
        <v>43.413916666666665</v>
      </c>
      <c r="R32" s="13">
        <f t="shared" si="1"/>
        <v>43.413916666666665</v>
      </c>
      <c r="S32" s="13">
        <f t="shared" si="1"/>
        <v>43.413916666666665</v>
      </c>
      <c r="T32" s="13">
        <f t="shared" si="1"/>
        <v>43.413916666666665</v>
      </c>
      <c r="U32" s="13">
        <f t="shared" si="1"/>
        <v>43.413916666666665</v>
      </c>
      <c r="V32" s="13">
        <f t="shared" si="1"/>
        <v>43.413916666666665</v>
      </c>
      <c r="W32" s="13">
        <f t="shared" si="1"/>
        <v>43.413916666666665</v>
      </c>
      <c r="X32" s="13">
        <f t="shared" si="1"/>
        <v>43.413916666666665</v>
      </c>
      <c r="Y32" s="13">
        <f t="shared" si="4"/>
        <v>520.96699999999987</v>
      </c>
      <c r="Z32" s="13">
        <f t="shared" si="6"/>
        <v>7423.7869999999994</v>
      </c>
      <c r="AA32" s="13">
        <f t="shared" si="5"/>
        <v>4153.2629999999999</v>
      </c>
    </row>
    <row r="33" spans="1:27" ht="15" customHeight="1" x14ac:dyDescent="0.2">
      <c r="C33" s="10" t="s">
        <v>51</v>
      </c>
      <c r="D33" s="10" t="s">
        <v>52</v>
      </c>
      <c r="E33" s="11">
        <v>41639</v>
      </c>
      <c r="F33" s="11">
        <v>41640</v>
      </c>
      <c r="G33" s="12">
        <v>20</v>
      </c>
      <c r="H33" s="12">
        <f t="shared" si="2"/>
        <v>240</v>
      </c>
      <c r="I33" s="13">
        <v>24816.55</v>
      </c>
      <c r="J33" s="13">
        <v>2481.66</v>
      </c>
      <c r="K33" s="13">
        <f t="shared" si="0"/>
        <v>22334.89</v>
      </c>
      <c r="L33" s="13">
        <v>12284.2</v>
      </c>
      <c r="M33" s="13">
        <f t="shared" si="3"/>
        <v>93.062041666666673</v>
      </c>
      <c r="N33" s="13">
        <f t="shared" si="1"/>
        <v>93.062041666666659</v>
      </c>
      <c r="O33" s="13">
        <f t="shared" si="1"/>
        <v>93.062041666666659</v>
      </c>
      <c r="P33" s="13">
        <f t="shared" si="1"/>
        <v>93.062041666666659</v>
      </c>
      <c r="Q33" s="13">
        <f t="shared" si="1"/>
        <v>93.062041666666659</v>
      </c>
      <c r="R33" s="13">
        <f t="shared" si="1"/>
        <v>93.062041666666659</v>
      </c>
      <c r="S33" s="13">
        <f t="shared" si="1"/>
        <v>93.062041666666659</v>
      </c>
      <c r="T33" s="13">
        <f t="shared" si="1"/>
        <v>93.062041666666659</v>
      </c>
      <c r="U33" s="13">
        <f t="shared" si="1"/>
        <v>93.062041666666659</v>
      </c>
      <c r="V33" s="13">
        <f t="shared" si="1"/>
        <v>93.062041666666659</v>
      </c>
      <c r="W33" s="13">
        <f t="shared" si="1"/>
        <v>93.062041666666659</v>
      </c>
      <c r="X33" s="13">
        <f t="shared" si="1"/>
        <v>93.062041666666659</v>
      </c>
      <c r="Y33" s="13">
        <f t="shared" si="4"/>
        <v>1116.7445</v>
      </c>
      <c r="Z33" s="13">
        <f t="shared" si="6"/>
        <v>13400.944500000001</v>
      </c>
      <c r="AA33" s="13">
        <f t="shared" si="5"/>
        <v>11415.605499999998</v>
      </c>
    </row>
    <row r="34" spans="1:27" ht="15" customHeight="1" x14ac:dyDescent="0.2">
      <c r="C34" s="10" t="s">
        <v>53</v>
      </c>
      <c r="D34" s="10" t="s">
        <v>54</v>
      </c>
      <c r="E34" s="11">
        <v>42369</v>
      </c>
      <c r="F34" s="11">
        <v>42370</v>
      </c>
      <c r="G34" s="12">
        <v>20</v>
      </c>
      <c r="H34" s="12">
        <f t="shared" si="2"/>
        <v>240</v>
      </c>
      <c r="I34" s="13">
        <v>44172.23</v>
      </c>
      <c r="J34" s="13">
        <v>4417.22</v>
      </c>
      <c r="K34" s="13">
        <f t="shared" si="0"/>
        <v>39755.01</v>
      </c>
      <c r="L34" s="13">
        <v>17889.75</v>
      </c>
      <c r="M34" s="13">
        <f t="shared" si="3"/>
        <v>165.64587500000002</v>
      </c>
      <c r="N34" s="13">
        <f t="shared" si="1"/>
        <v>165.64587500000002</v>
      </c>
      <c r="O34" s="13">
        <f t="shared" si="1"/>
        <v>165.64587500000002</v>
      </c>
      <c r="P34" s="13">
        <f t="shared" si="1"/>
        <v>165.64587500000002</v>
      </c>
      <c r="Q34" s="13">
        <f t="shared" si="1"/>
        <v>165.64587500000002</v>
      </c>
      <c r="R34" s="13">
        <f t="shared" si="1"/>
        <v>165.64587500000002</v>
      </c>
      <c r="S34" s="13">
        <f t="shared" si="1"/>
        <v>165.64587500000002</v>
      </c>
      <c r="T34" s="13">
        <f t="shared" si="1"/>
        <v>165.64587500000002</v>
      </c>
      <c r="U34" s="13">
        <f t="shared" si="1"/>
        <v>165.64587500000002</v>
      </c>
      <c r="V34" s="13">
        <f t="shared" si="1"/>
        <v>165.64587500000002</v>
      </c>
      <c r="W34" s="13">
        <f t="shared" si="1"/>
        <v>165.64587500000002</v>
      </c>
      <c r="X34" s="13">
        <f t="shared" si="1"/>
        <v>165.64587500000002</v>
      </c>
      <c r="Y34" s="13">
        <f t="shared" si="4"/>
        <v>1987.7504999999999</v>
      </c>
      <c r="Z34" s="13">
        <f t="shared" si="6"/>
        <v>19877.500499999998</v>
      </c>
      <c r="AA34" s="13">
        <f t="shared" si="5"/>
        <v>24294.729500000005</v>
      </c>
    </row>
    <row r="35" spans="1:27" ht="15" customHeight="1" x14ac:dyDescent="0.2">
      <c r="C35" s="10" t="s">
        <v>55</v>
      </c>
      <c r="D35" s="10" t="s">
        <v>54</v>
      </c>
      <c r="E35" s="11">
        <v>42369</v>
      </c>
      <c r="F35" s="11">
        <v>42370</v>
      </c>
      <c r="G35" s="12">
        <v>20</v>
      </c>
      <c r="H35" s="12">
        <f t="shared" si="2"/>
        <v>240</v>
      </c>
      <c r="I35" s="13">
        <v>9077.51</v>
      </c>
      <c r="J35" s="13">
        <v>907.75</v>
      </c>
      <c r="K35" s="13">
        <f t="shared" si="0"/>
        <v>8169.76</v>
      </c>
      <c r="L35" s="13">
        <v>3676.39</v>
      </c>
      <c r="M35" s="13">
        <f t="shared" si="3"/>
        <v>34.040666666666674</v>
      </c>
      <c r="N35" s="13">
        <f t="shared" si="1"/>
        <v>34.040666666666667</v>
      </c>
      <c r="O35" s="13">
        <f t="shared" si="1"/>
        <v>34.040666666666667</v>
      </c>
      <c r="P35" s="13">
        <f t="shared" si="1"/>
        <v>34.040666666666667</v>
      </c>
      <c r="Q35" s="13">
        <f t="shared" si="1"/>
        <v>34.040666666666667</v>
      </c>
      <c r="R35" s="13">
        <f t="shared" si="1"/>
        <v>34.040666666666667</v>
      </c>
      <c r="S35" s="13">
        <f t="shared" si="1"/>
        <v>34.040666666666667</v>
      </c>
      <c r="T35" s="13">
        <f t="shared" si="1"/>
        <v>34.040666666666667</v>
      </c>
      <c r="U35" s="13">
        <f t="shared" si="1"/>
        <v>34.040666666666667</v>
      </c>
      <c r="V35" s="13">
        <f t="shared" si="1"/>
        <v>34.040666666666667</v>
      </c>
      <c r="W35" s="13">
        <f t="shared" si="1"/>
        <v>34.040666666666667</v>
      </c>
      <c r="X35" s="13">
        <f t="shared" si="1"/>
        <v>34.040666666666667</v>
      </c>
      <c r="Y35" s="13">
        <f t="shared" si="4"/>
        <v>408.48799999999989</v>
      </c>
      <c r="Z35" s="13">
        <f t="shared" si="6"/>
        <v>4084.8779999999997</v>
      </c>
      <c r="AA35" s="13">
        <f t="shared" si="5"/>
        <v>4992.6320000000005</v>
      </c>
    </row>
    <row r="36" spans="1:27" ht="15" customHeight="1" x14ac:dyDescent="0.2">
      <c r="C36" s="10" t="s">
        <v>56</v>
      </c>
      <c r="D36" s="10" t="s">
        <v>57</v>
      </c>
      <c r="E36" s="11">
        <v>42735</v>
      </c>
      <c r="F36" s="11">
        <v>42735</v>
      </c>
      <c r="G36" s="12">
        <v>20</v>
      </c>
      <c r="H36" s="12">
        <f t="shared" si="2"/>
        <v>240</v>
      </c>
      <c r="I36" s="13">
        <v>4238.75</v>
      </c>
      <c r="J36" s="13">
        <v>423.88</v>
      </c>
      <c r="K36" s="13">
        <f t="shared" si="0"/>
        <v>3814.87</v>
      </c>
      <c r="L36" s="13">
        <v>1525.95</v>
      </c>
      <c r="M36" s="13">
        <f t="shared" si="3"/>
        <v>15.895291666666667</v>
      </c>
      <c r="N36" s="13">
        <f t="shared" si="1"/>
        <v>15.895291666666667</v>
      </c>
      <c r="O36" s="13">
        <f t="shared" si="1"/>
        <v>15.895291666666667</v>
      </c>
      <c r="P36" s="13">
        <f t="shared" si="1"/>
        <v>15.895291666666667</v>
      </c>
      <c r="Q36" s="13">
        <f t="shared" si="1"/>
        <v>15.895291666666667</v>
      </c>
      <c r="R36" s="13">
        <f t="shared" si="1"/>
        <v>15.895291666666667</v>
      </c>
      <c r="S36" s="13">
        <f t="shared" si="1"/>
        <v>15.895291666666667</v>
      </c>
      <c r="T36" s="13">
        <f t="shared" si="1"/>
        <v>15.895291666666667</v>
      </c>
      <c r="U36" s="13">
        <f t="shared" si="1"/>
        <v>15.895291666666667</v>
      </c>
      <c r="V36" s="13">
        <f t="shared" si="1"/>
        <v>15.895291666666667</v>
      </c>
      <c r="W36" s="13">
        <f t="shared" si="1"/>
        <v>15.895291666666667</v>
      </c>
      <c r="X36" s="13">
        <f t="shared" si="1"/>
        <v>15.895291666666667</v>
      </c>
      <c r="Y36" s="13">
        <f t="shared" si="4"/>
        <v>190.74350000000004</v>
      </c>
      <c r="Z36" s="13">
        <f t="shared" si="6"/>
        <v>1716.6935000000001</v>
      </c>
      <c r="AA36" s="13">
        <f t="shared" si="5"/>
        <v>2522.0564999999997</v>
      </c>
    </row>
    <row r="37" spans="1:27" s="18" customFormat="1" ht="15" customHeight="1" x14ac:dyDescent="0.2">
      <c r="C37" s="39" t="s">
        <v>37</v>
      </c>
      <c r="D37" s="39"/>
      <c r="E37" s="39"/>
      <c r="F37" s="39"/>
      <c r="G37" s="39"/>
      <c r="H37" s="39"/>
      <c r="I37" s="16">
        <f t="shared" ref="I37:N37" si="7">SUM(I26:I36)</f>
        <v>175743.55000000002</v>
      </c>
      <c r="J37" s="17">
        <f t="shared" si="7"/>
        <v>17574.370000000003</v>
      </c>
      <c r="K37" s="17">
        <f t="shared" si="7"/>
        <v>158169.18</v>
      </c>
      <c r="L37" s="16">
        <f t="shared" si="7"/>
        <v>97364.83</v>
      </c>
      <c r="M37" s="17">
        <f t="shared" si="7"/>
        <v>659.03825000000006</v>
      </c>
      <c r="N37" s="17">
        <f t="shared" si="7"/>
        <v>659.03825000000006</v>
      </c>
      <c r="O37" s="17">
        <f t="shared" ref="O37:X37" si="8">SUM(O26:O36)</f>
        <v>659.03825000000006</v>
      </c>
      <c r="P37" s="17">
        <f t="shared" si="8"/>
        <v>659.03825000000006</v>
      </c>
      <c r="Q37" s="17">
        <f t="shared" si="8"/>
        <v>659.03825000000006</v>
      </c>
      <c r="R37" s="17">
        <f t="shared" si="8"/>
        <v>659.03825000000006</v>
      </c>
      <c r="S37" s="17">
        <f t="shared" si="8"/>
        <v>659.03825000000006</v>
      </c>
      <c r="T37" s="17">
        <f t="shared" si="8"/>
        <v>659.03825000000006</v>
      </c>
      <c r="U37" s="17">
        <f t="shared" si="8"/>
        <v>659.03825000000006</v>
      </c>
      <c r="V37" s="17">
        <f t="shared" si="8"/>
        <v>659.03825000000006</v>
      </c>
      <c r="W37" s="17">
        <f t="shared" si="8"/>
        <v>659.03825000000006</v>
      </c>
      <c r="X37" s="17">
        <f t="shared" si="8"/>
        <v>659.03825000000006</v>
      </c>
      <c r="Y37" s="17">
        <f>SUM(Y26:Y36)</f>
        <v>7908.4590000000007</v>
      </c>
      <c r="Z37" s="17">
        <f>SUM(Z26:Z36)</f>
        <v>105273.28899999998</v>
      </c>
      <c r="AA37" s="17">
        <f>SUM(AA26:AA36)</f>
        <v>70470.261000000013</v>
      </c>
    </row>
    <row r="39" spans="1:27" x14ac:dyDescent="0.2">
      <c r="C39" s="10"/>
      <c r="D39" s="10"/>
      <c r="E39" s="11"/>
      <c r="F39" s="11"/>
      <c r="G39" s="10"/>
      <c r="H39" s="10"/>
      <c r="I39" s="15"/>
      <c r="J39" s="15"/>
      <c r="K39" s="15"/>
      <c r="L39" s="15"/>
    </row>
    <row r="40" spans="1:27" x14ac:dyDescent="0.2">
      <c r="C40" s="14" t="s">
        <v>58</v>
      </c>
      <c r="D40" s="10"/>
      <c r="E40" s="11"/>
      <c r="F40" s="11"/>
      <c r="G40" s="10"/>
      <c r="H40" s="10"/>
      <c r="I40" s="15"/>
      <c r="J40" s="15"/>
      <c r="K40" s="15"/>
      <c r="L40" s="15"/>
    </row>
    <row r="41" spans="1:27" ht="15" customHeight="1" x14ac:dyDescent="0.2">
      <c r="A41" s="20"/>
      <c r="C41" s="10" t="s">
        <v>59</v>
      </c>
      <c r="D41" s="10" t="s">
        <v>60</v>
      </c>
      <c r="E41" s="11">
        <v>39114</v>
      </c>
      <c r="F41" s="11">
        <v>39114</v>
      </c>
      <c r="G41" s="12">
        <v>10</v>
      </c>
      <c r="H41" s="12">
        <v>120</v>
      </c>
      <c r="I41" s="13">
        <v>380</v>
      </c>
      <c r="J41" s="13">
        <v>0</v>
      </c>
      <c r="K41" s="13">
        <f>+I41-J41</f>
        <v>380</v>
      </c>
      <c r="L41" s="13">
        <v>380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3">
        <f t="shared" ref="Y41:Y72" si="9">SUM(M41:X41)</f>
        <v>0</v>
      </c>
      <c r="Z41" s="13">
        <f t="shared" ref="Z41:Z72" si="10">+L41+Y41</f>
        <v>380</v>
      </c>
      <c r="AA41" s="13">
        <f t="shared" ref="AA41:AA72" si="11">+I41-Z41</f>
        <v>0</v>
      </c>
    </row>
    <row r="42" spans="1:27" ht="15" customHeight="1" x14ac:dyDescent="0.2">
      <c r="A42" s="20"/>
      <c r="C42" s="10" t="s">
        <v>61</v>
      </c>
      <c r="D42" s="10" t="s">
        <v>62</v>
      </c>
      <c r="E42" s="11">
        <v>39114</v>
      </c>
      <c r="F42" s="11">
        <v>39114</v>
      </c>
      <c r="G42" s="12">
        <v>10</v>
      </c>
      <c r="H42" s="12">
        <v>120</v>
      </c>
      <c r="I42" s="13">
        <v>450</v>
      </c>
      <c r="J42" s="13">
        <v>0</v>
      </c>
      <c r="K42" s="13">
        <f t="shared" ref="K42:K91" si="12">+I42-J42</f>
        <v>450</v>
      </c>
      <c r="L42" s="13">
        <v>450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3">
        <f t="shared" si="9"/>
        <v>0</v>
      </c>
      <c r="Z42" s="13">
        <f t="shared" si="10"/>
        <v>450</v>
      </c>
      <c r="AA42" s="13">
        <f t="shared" si="11"/>
        <v>0</v>
      </c>
    </row>
    <row r="43" spans="1:27" ht="15" customHeight="1" x14ac:dyDescent="0.2">
      <c r="A43" s="20"/>
      <c r="C43" s="10" t="s">
        <v>73</v>
      </c>
      <c r="D43" s="10" t="s">
        <v>74</v>
      </c>
      <c r="E43" s="11">
        <v>39114</v>
      </c>
      <c r="F43" s="11">
        <v>39114</v>
      </c>
      <c r="G43" s="12">
        <v>10</v>
      </c>
      <c r="H43" s="12">
        <v>120</v>
      </c>
      <c r="I43" s="13">
        <v>320</v>
      </c>
      <c r="J43" s="13">
        <v>0</v>
      </c>
      <c r="K43" s="13">
        <f t="shared" si="12"/>
        <v>320</v>
      </c>
      <c r="L43" s="13">
        <v>320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3">
        <f t="shared" si="9"/>
        <v>0</v>
      </c>
      <c r="Z43" s="13">
        <f t="shared" si="10"/>
        <v>320</v>
      </c>
      <c r="AA43" s="13">
        <f t="shared" si="11"/>
        <v>0</v>
      </c>
    </row>
    <row r="44" spans="1:27" ht="15" customHeight="1" x14ac:dyDescent="0.2">
      <c r="A44" s="20"/>
      <c r="C44" s="10" t="s">
        <v>95</v>
      </c>
      <c r="D44" s="10" t="s">
        <v>96</v>
      </c>
      <c r="E44" s="11">
        <v>39337</v>
      </c>
      <c r="F44" s="11">
        <v>39356</v>
      </c>
      <c r="G44" s="12">
        <v>10</v>
      </c>
      <c r="H44" s="12">
        <v>120</v>
      </c>
      <c r="I44" s="13">
        <v>395</v>
      </c>
      <c r="J44" s="13">
        <v>0</v>
      </c>
      <c r="K44" s="13">
        <f t="shared" si="12"/>
        <v>395</v>
      </c>
      <c r="L44" s="13">
        <v>395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3">
        <f t="shared" si="9"/>
        <v>0</v>
      </c>
      <c r="Z44" s="13">
        <f t="shared" si="10"/>
        <v>395</v>
      </c>
      <c r="AA44" s="13">
        <f t="shared" si="11"/>
        <v>0</v>
      </c>
    </row>
    <row r="45" spans="1:27" ht="15" customHeight="1" x14ac:dyDescent="0.2">
      <c r="A45" s="20"/>
      <c r="C45" s="10" t="s">
        <v>113</v>
      </c>
      <c r="D45" s="10" t="s">
        <v>114</v>
      </c>
      <c r="E45" s="11">
        <v>39524</v>
      </c>
      <c r="F45" s="11">
        <v>39539</v>
      </c>
      <c r="G45" s="12">
        <v>10</v>
      </c>
      <c r="H45" s="12">
        <v>120</v>
      </c>
      <c r="I45" s="13">
        <v>389.45</v>
      </c>
      <c r="J45" s="13">
        <v>0</v>
      </c>
      <c r="K45" s="13">
        <f t="shared" si="12"/>
        <v>389.45</v>
      </c>
      <c r="L45" s="13">
        <v>389.45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3">
        <f t="shared" si="9"/>
        <v>0</v>
      </c>
      <c r="Z45" s="13">
        <f t="shared" si="10"/>
        <v>389.45</v>
      </c>
      <c r="AA45" s="13">
        <f t="shared" si="11"/>
        <v>0</v>
      </c>
    </row>
    <row r="46" spans="1:27" ht="15" customHeight="1" x14ac:dyDescent="0.2">
      <c r="A46" s="20"/>
      <c r="C46" s="10" t="s">
        <v>115</v>
      </c>
      <c r="D46" s="10" t="s">
        <v>116</v>
      </c>
      <c r="E46" s="11">
        <v>39862</v>
      </c>
      <c r="F46" s="11">
        <v>39873</v>
      </c>
      <c r="G46" s="12">
        <v>10</v>
      </c>
      <c r="H46" s="12">
        <v>120</v>
      </c>
      <c r="I46" s="13">
        <v>520</v>
      </c>
      <c r="J46" s="13">
        <v>0</v>
      </c>
      <c r="K46" s="13">
        <f t="shared" si="12"/>
        <v>520</v>
      </c>
      <c r="L46" s="13">
        <v>520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3">
        <f t="shared" si="9"/>
        <v>0</v>
      </c>
      <c r="Z46" s="13">
        <f t="shared" si="10"/>
        <v>520</v>
      </c>
      <c r="AA46" s="13">
        <f t="shared" si="11"/>
        <v>0</v>
      </c>
    </row>
    <row r="47" spans="1:27" ht="15" customHeight="1" x14ac:dyDescent="0.2">
      <c r="A47" s="20"/>
      <c r="C47" s="10" t="s">
        <v>65</v>
      </c>
      <c r="D47" s="10" t="s">
        <v>66</v>
      </c>
      <c r="E47" s="11">
        <v>39887</v>
      </c>
      <c r="F47" s="11">
        <v>39904</v>
      </c>
      <c r="G47" s="12">
        <v>10</v>
      </c>
      <c r="H47" s="12">
        <v>120</v>
      </c>
      <c r="I47" s="13">
        <v>504.46</v>
      </c>
      <c r="J47" s="13">
        <v>0</v>
      </c>
      <c r="K47" s="13">
        <f t="shared" si="12"/>
        <v>504.46</v>
      </c>
      <c r="L47" s="13">
        <v>504.46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3">
        <f t="shared" si="9"/>
        <v>0</v>
      </c>
      <c r="Z47" s="13">
        <f t="shared" si="10"/>
        <v>504.46</v>
      </c>
      <c r="AA47" s="13">
        <f t="shared" si="11"/>
        <v>0</v>
      </c>
    </row>
    <row r="48" spans="1:27" ht="15" customHeight="1" x14ac:dyDescent="0.2">
      <c r="A48" s="20"/>
      <c r="C48" s="10" t="s">
        <v>67</v>
      </c>
      <c r="D48" s="10" t="s">
        <v>68</v>
      </c>
      <c r="E48" s="11">
        <v>40065</v>
      </c>
      <c r="F48" s="11">
        <v>40065</v>
      </c>
      <c r="G48" s="12">
        <v>10</v>
      </c>
      <c r="H48" s="12">
        <v>120</v>
      </c>
      <c r="I48" s="13">
        <v>441.96</v>
      </c>
      <c r="J48" s="13">
        <v>0</v>
      </c>
      <c r="K48" s="13">
        <f t="shared" si="12"/>
        <v>441.96</v>
      </c>
      <c r="L48" s="13">
        <v>441.96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3">
        <f t="shared" si="9"/>
        <v>0</v>
      </c>
      <c r="Z48" s="13">
        <f t="shared" si="10"/>
        <v>441.96</v>
      </c>
      <c r="AA48" s="13">
        <f t="shared" si="11"/>
        <v>0</v>
      </c>
    </row>
    <row r="49" spans="1:27" ht="15" customHeight="1" x14ac:dyDescent="0.2">
      <c r="A49" s="20"/>
      <c r="C49" s="10" t="s">
        <v>107</v>
      </c>
      <c r="D49" s="10" t="s">
        <v>108</v>
      </c>
      <c r="E49" s="11">
        <v>40141</v>
      </c>
      <c r="F49" s="11">
        <v>40148</v>
      </c>
      <c r="G49" s="12">
        <v>10</v>
      </c>
      <c r="H49" s="12">
        <v>120</v>
      </c>
      <c r="I49" s="13">
        <v>1200</v>
      </c>
      <c r="J49" s="13">
        <v>0</v>
      </c>
      <c r="K49" s="13">
        <f t="shared" si="12"/>
        <v>1200</v>
      </c>
      <c r="L49" s="13">
        <v>1200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3">
        <f t="shared" si="9"/>
        <v>0</v>
      </c>
      <c r="Z49" s="13">
        <f t="shared" si="10"/>
        <v>1200</v>
      </c>
      <c r="AA49" s="13">
        <f t="shared" si="11"/>
        <v>0</v>
      </c>
    </row>
    <row r="50" spans="1:27" ht="15" customHeight="1" x14ac:dyDescent="0.2">
      <c r="A50" s="20"/>
      <c r="C50" s="10" t="s">
        <v>89</v>
      </c>
      <c r="D50" s="10" t="s">
        <v>90</v>
      </c>
      <c r="E50" s="11">
        <v>40207</v>
      </c>
      <c r="F50" s="11">
        <v>40210</v>
      </c>
      <c r="G50" s="12">
        <v>10</v>
      </c>
      <c r="H50" s="12">
        <v>120</v>
      </c>
      <c r="I50" s="13">
        <v>1024.43</v>
      </c>
      <c r="J50" s="13">
        <v>0</v>
      </c>
      <c r="K50" s="13">
        <f t="shared" si="12"/>
        <v>1024.43</v>
      </c>
      <c r="L50" s="13">
        <v>1024.43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3">
        <f t="shared" si="9"/>
        <v>0</v>
      </c>
      <c r="Z50" s="13">
        <f t="shared" si="10"/>
        <v>1024.43</v>
      </c>
      <c r="AA50" s="13">
        <f t="shared" si="11"/>
        <v>0</v>
      </c>
    </row>
    <row r="51" spans="1:27" ht="15" customHeight="1" x14ac:dyDescent="0.2">
      <c r="A51" s="20"/>
      <c r="C51" s="10" t="s">
        <v>81</v>
      </c>
      <c r="D51" s="10" t="s">
        <v>80</v>
      </c>
      <c r="E51" s="11">
        <v>40386</v>
      </c>
      <c r="F51" s="11">
        <v>40391</v>
      </c>
      <c r="G51" s="12">
        <v>10</v>
      </c>
      <c r="H51" s="12">
        <v>120</v>
      </c>
      <c r="I51" s="13">
        <v>1500</v>
      </c>
      <c r="J51" s="13">
        <v>0</v>
      </c>
      <c r="K51" s="13">
        <f t="shared" si="12"/>
        <v>1500</v>
      </c>
      <c r="L51" s="13">
        <v>1500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3">
        <f t="shared" si="9"/>
        <v>0</v>
      </c>
      <c r="Z51" s="13">
        <f t="shared" si="10"/>
        <v>1500</v>
      </c>
      <c r="AA51" s="13">
        <f t="shared" si="11"/>
        <v>0</v>
      </c>
    </row>
    <row r="52" spans="1:27" ht="15" customHeight="1" x14ac:dyDescent="0.2">
      <c r="A52" s="20"/>
      <c r="C52" s="10" t="s">
        <v>79</v>
      </c>
      <c r="D52" s="10" t="s">
        <v>80</v>
      </c>
      <c r="E52" s="11">
        <v>40448</v>
      </c>
      <c r="F52" s="11">
        <v>40452</v>
      </c>
      <c r="G52" s="12">
        <v>10</v>
      </c>
      <c r="H52" s="12">
        <v>120</v>
      </c>
      <c r="I52" s="13">
        <v>1200</v>
      </c>
      <c r="J52" s="13">
        <v>0</v>
      </c>
      <c r="K52" s="13">
        <f t="shared" si="12"/>
        <v>1200</v>
      </c>
      <c r="L52" s="13">
        <v>1200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3">
        <f t="shared" si="9"/>
        <v>0</v>
      </c>
      <c r="Z52" s="13">
        <f t="shared" si="10"/>
        <v>1200</v>
      </c>
      <c r="AA52" s="13">
        <f t="shared" si="11"/>
        <v>0</v>
      </c>
    </row>
    <row r="53" spans="1:27" ht="15" customHeight="1" x14ac:dyDescent="0.2">
      <c r="A53" s="20"/>
      <c r="C53" s="10" t="s">
        <v>117</v>
      </c>
      <c r="D53" s="10" t="s">
        <v>118</v>
      </c>
      <c r="E53" s="11">
        <v>40486</v>
      </c>
      <c r="F53" s="11">
        <v>40486</v>
      </c>
      <c r="G53" s="12">
        <v>10</v>
      </c>
      <c r="H53" s="12">
        <v>120</v>
      </c>
      <c r="I53" s="13">
        <v>424.11</v>
      </c>
      <c r="J53" s="13">
        <v>0</v>
      </c>
      <c r="K53" s="13">
        <f t="shared" si="12"/>
        <v>424.11</v>
      </c>
      <c r="L53" s="13">
        <v>424.11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3">
        <f t="shared" si="9"/>
        <v>0</v>
      </c>
      <c r="Z53" s="13">
        <f t="shared" si="10"/>
        <v>424.11</v>
      </c>
      <c r="AA53" s="13">
        <f t="shared" si="11"/>
        <v>0</v>
      </c>
    </row>
    <row r="54" spans="1:27" ht="15" customHeight="1" x14ac:dyDescent="0.2">
      <c r="A54" s="20"/>
      <c r="C54" s="10" t="s">
        <v>77</v>
      </c>
      <c r="D54" s="10" t="s">
        <v>78</v>
      </c>
      <c r="E54" s="11">
        <v>40521</v>
      </c>
      <c r="F54" s="11">
        <v>40544</v>
      </c>
      <c r="G54" s="12">
        <v>10</v>
      </c>
      <c r="H54" s="12">
        <v>120</v>
      </c>
      <c r="I54" s="13">
        <v>316.95999999999998</v>
      </c>
      <c r="J54" s="13">
        <v>0</v>
      </c>
      <c r="K54" s="13">
        <f t="shared" si="12"/>
        <v>316.95999999999998</v>
      </c>
      <c r="L54" s="13">
        <v>316.95999999999998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3">
        <f t="shared" si="9"/>
        <v>0</v>
      </c>
      <c r="Z54" s="13">
        <f t="shared" si="10"/>
        <v>316.95999999999998</v>
      </c>
      <c r="AA54" s="13">
        <f t="shared" si="11"/>
        <v>0</v>
      </c>
    </row>
    <row r="55" spans="1:27" ht="15" customHeight="1" x14ac:dyDescent="0.2">
      <c r="A55" s="20"/>
      <c r="C55" s="10" t="s">
        <v>121</v>
      </c>
      <c r="D55" s="10" t="s">
        <v>122</v>
      </c>
      <c r="E55" s="11">
        <v>40585</v>
      </c>
      <c r="F55" s="11">
        <v>40603</v>
      </c>
      <c r="G55" s="12">
        <v>10</v>
      </c>
      <c r="H55" s="12">
        <v>120</v>
      </c>
      <c r="I55" s="13">
        <v>1248</v>
      </c>
      <c r="J55" s="13">
        <v>0</v>
      </c>
      <c r="K55" s="13">
        <f t="shared" si="12"/>
        <v>1248</v>
      </c>
      <c r="L55" s="13">
        <v>1248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3">
        <f t="shared" si="9"/>
        <v>0</v>
      </c>
      <c r="Z55" s="13">
        <f t="shared" si="10"/>
        <v>1248</v>
      </c>
      <c r="AA55" s="13">
        <f t="shared" si="11"/>
        <v>0</v>
      </c>
    </row>
    <row r="56" spans="1:27" ht="15" customHeight="1" x14ac:dyDescent="0.2">
      <c r="A56" s="20"/>
      <c r="C56" s="10" t="s">
        <v>119</v>
      </c>
      <c r="D56" s="10" t="s">
        <v>120</v>
      </c>
      <c r="E56" s="11">
        <v>40763</v>
      </c>
      <c r="F56" s="11">
        <v>40763</v>
      </c>
      <c r="G56" s="12">
        <v>10</v>
      </c>
      <c r="H56" s="12">
        <v>120</v>
      </c>
      <c r="I56" s="13">
        <v>388.39</v>
      </c>
      <c r="J56" s="13">
        <v>0</v>
      </c>
      <c r="K56" s="13">
        <f t="shared" si="12"/>
        <v>388.39</v>
      </c>
      <c r="L56" s="13">
        <v>388.39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3">
        <f t="shared" si="9"/>
        <v>0</v>
      </c>
      <c r="Z56" s="13">
        <f t="shared" si="10"/>
        <v>388.39</v>
      </c>
      <c r="AA56" s="13">
        <f t="shared" si="11"/>
        <v>0</v>
      </c>
    </row>
    <row r="57" spans="1:27" ht="15" customHeight="1" x14ac:dyDescent="0.2">
      <c r="A57" s="20"/>
      <c r="C57" s="10" t="s">
        <v>103</v>
      </c>
      <c r="D57" s="10" t="s">
        <v>104</v>
      </c>
      <c r="E57" s="11">
        <v>40780</v>
      </c>
      <c r="F57" s="11">
        <v>40787</v>
      </c>
      <c r="G57" s="12">
        <v>10</v>
      </c>
      <c r="H57" s="12">
        <v>120</v>
      </c>
      <c r="I57" s="13">
        <v>678.56</v>
      </c>
      <c r="J57" s="13">
        <v>0</v>
      </c>
      <c r="K57" s="13">
        <f t="shared" si="12"/>
        <v>678.56</v>
      </c>
      <c r="L57" s="13">
        <v>678.56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3">
        <f t="shared" si="9"/>
        <v>0</v>
      </c>
      <c r="Z57" s="13">
        <f t="shared" si="10"/>
        <v>678.56</v>
      </c>
      <c r="AA57" s="13">
        <f t="shared" si="11"/>
        <v>0</v>
      </c>
    </row>
    <row r="58" spans="1:27" ht="15" customHeight="1" x14ac:dyDescent="0.2">
      <c r="A58" s="20"/>
      <c r="C58" s="10" t="s">
        <v>123</v>
      </c>
      <c r="D58" s="10" t="s">
        <v>124</v>
      </c>
      <c r="E58" s="11">
        <v>40786</v>
      </c>
      <c r="F58" s="11">
        <v>40787</v>
      </c>
      <c r="G58" s="12">
        <v>10</v>
      </c>
      <c r="H58" s="12">
        <v>120</v>
      </c>
      <c r="I58" s="13">
        <v>616.08000000000004</v>
      </c>
      <c r="J58" s="13">
        <v>0</v>
      </c>
      <c r="K58" s="13">
        <f t="shared" si="12"/>
        <v>616.08000000000004</v>
      </c>
      <c r="L58" s="13">
        <v>616.08000000000004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3">
        <f t="shared" si="9"/>
        <v>0</v>
      </c>
      <c r="Z58" s="13">
        <f t="shared" si="10"/>
        <v>616.08000000000004</v>
      </c>
      <c r="AA58" s="13">
        <f t="shared" si="11"/>
        <v>0</v>
      </c>
    </row>
    <row r="59" spans="1:27" ht="15" customHeight="1" x14ac:dyDescent="0.2">
      <c r="A59" s="20"/>
      <c r="C59" s="10" t="s">
        <v>105</v>
      </c>
      <c r="D59" s="10" t="s">
        <v>106</v>
      </c>
      <c r="E59" s="11">
        <v>40900</v>
      </c>
      <c r="F59" s="11">
        <v>40909</v>
      </c>
      <c r="G59" s="12">
        <v>10</v>
      </c>
      <c r="H59" s="12">
        <v>120</v>
      </c>
      <c r="I59" s="13">
        <v>607.14</v>
      </c>
      <c r="J59" s="13">
        <v>0</v>
      </c>
      <c r="K59" s="13">
        <f t="shared" si="12"/>
        <v>607.14</v>
      </c>
      <c r="L59" s="13">
        <v>607.14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3">
        <f t="shared" si="9"/>
        <v>0</v>
      </c>
      <c r="Z59" s="13">
        <f t="shared" si="10"/>
        <v>607.14</v>
      </c>
      <c r="AA59" s="13">
        <f t="shared" si="11"/>
        <v>0</v>
      </c>
    </row>
    <row r="60" spans="1:27" ht="15" customHeight="1" x14ac:dyDescent="0.2">
      <c r="A60" s="20"/>
      <c r="C60" s="10" t="s">
        <v>129</v>
      </c>
      <c r="D60" s="10" t="s">
        <v>130</v>
      </c>
      <c r="E60" s="11">
        <v>40906</v>
      </c>
      <c r="F60" s="11">
        <v>40909</v>
      </c>
      <c r="G60" s="12">
        <v>10</v>
      </c>
      <c r="H60" s="12">
        <v>120</v>
      </c>
      <c r="I60" s="13">
        <v>358</v>
      </c>
      <c r="J60" s="13">
        <v>0</v>
      </c>
      <c r="K60" s="13">
        <f t="shared" si="12"/>
        <v>358</v>
      </c>
      <c r="L60" s="13">
        <v>358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3">
        <f t="shared" si="9"/>
        <v>0</v>
      </c>
      <c r="Z60" s="13">
        <f t="shared" si="10"/>
        <v>358</v>
      </c>
      <c r="AA60" s="13">
        <f t="shared" si="11"/>
        <v>0</v>
      </c>
    </row>
    <row r="61" spans="1:27" ht="15" customHeight="1" x14ac:dyDescent="0.2">
      <c r="A61" s="20"/>
      <c r="C61" s="10" t="s">
        <v>111</v>
      </c>
      <c r="D61" s="10" t="s">
        <v>112</v>
      </c>
      <c r="E61" s="11">
        <v>40932</v>
      </c>
      <c r="F61" s="11">
        <v>40940</v>
      </c>
      <c r="G61" s="12">
        <v>10</v>
      </c>
      <c r="H61" s="12">
        <v>120</v>
      </c>
      <c r="I61" s="13">
        <v>31.25</v>
      </c>
      <c r="J61" s="13">
        <v>0</v>
      </c>
      <c r="K61" s="13">
        <f t="shared" si="12"/>
        <v>31.25</v>
      </c>
      <c r="L61" s="13">
        <v>31.25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3">
        <f t="shared" si="9"/>
        <v>0</v>
      </c>
      <c r="Z61" s="13">
        <f t="shared" si="10"/>
        <v>31.25</v>
      </c>
      <c r="AA61" s="13">
        <f t="shared" si="11"/>
        <v>0</v>
      </c>
    </row>
    <row r="62" spans="1:27" ht="15" customHeight="1" x14ac:dyDescent="0.2">
      <c r="A62" s="20"/>
      <c r="C62" s="10" t="s">
        <v>145</v>
      </c>
      <c r="D62" s="10" t="s">
        <v>146</v>
      </c>
      <c r="E62" s="11">
        <v>40932</v>
      </c>
      <c r="F62" s="11">
        <v>40932</v>
      </c>
      <c r="G62" s="12">
        <v>10</v>
      </c>
      <c r="H62" s="12">
        <v>120</v>
      </c>
      <c r="I62" s="13">
        <v>187.6</v>
      </c>
      <c r="J62" s="13">
        <v>0</v>
      </c>
      <c r="K62" s="13">
        <f t="shared" si="12"/>
        <v>187.6</v>
      </c>
      <c r="L62" s="13">
        <v>187.6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3">
        <f t="shared" si="9"/>
        <v>0</v>
      </c>
      <c r="Z62" s="13">
        <f t="shared" si="10"/>
        <v>187.6</v>
      </c>
      <c r="AA62" s="13">
        <f t="shared" si="11"/>
        <v>0</v>
      </c>
    </row>
    <row r="63" spans="1:27" ht="15" customHeight="1" x14ac:dyDescent="0.2">
      <c r="A63" s="20"/>
      <c r="C63" s="10" t="s">
        <v>69</v>
      </c>
      <c r="D63" s="10" t="s">
        <v>70</v>
      </c>
      <c r="E63" s="11">
        <v>40936</v>
      </c>
      <c r="F63" s="11">
        <v>40940</v>
      </c>
      <c r="G63" s="12">
        <v>10</v>
      </c>
      <c r="H63" s="12">
        <v>120</v>
      </c>
      <c r="I63" s="13">
        <v>129.46</v>
      </c>
      <c r="J63" s="13">
        <v>0</v>
      </c>
      <c r="K63" s="13">
        <f t="shared" si="12"/>
        <v>129.46</v>
      </c>
      <c r="L63" s="13">
        <v>129.46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3">
        <f t="shared" si="9"/>
        <v>0</v>
      </c>
      <c r="Z63" s="13">
        <f t="shared" si="10"/>
        <v>129.46</v>
      </c>
      <c r="AA63" s="13">
        <f t="shared" si="11"/>
        <v>0</v>
      </c>
    </row>
    <row r="64" spans="1:27" ht="15" customHeight="1" x14ac:dyDescent="0.2">
      <c r="A64" s="20"/>
      <c r="C64" s="10" t="s">
        <v>139</v>
      </c>
      <c r="D64" s="10" t="s">
        <v>140</v>
      </c>
      <c r="E64" s="11">
        <v>40968</v>
      </c>
      <c r="F64" s="11">
        <v>40969</v>
      </c>
      <c r="G64" s="12">
        <v>10</v>
      </c>
      <c r="H64" s="12">
        <v>120</v>
      </c>
      <c r="I64" s="13">
        <v>151.6</v>
      </c>
      <c r="J64" s="13">
        <v>0</v>
      </c>
      <c r="K64" s="13">
        <f t="shared" si="12"/>
        <v>151.6</v>
      </c>
      <c r="L64" s="13">
        <v>151.6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3">
        <f t="shared" si="9"/>
        <v>0</v>
      </c>
      <c r="Z64" s="13">
        <f t="shared" si="10"/>
        <v>151.6</v>
      </c>
      <c r="AA64" s="13">
        <f t="shared" si="11"/>
        <v>0</v>
      </c>
    </row>
    <row r="65" spans="1:27" ht="15" customHeight="1" x14ac:dyDescent="0.2">
      <c r="A65" s="20"/>
      <c r="C65" s="10" t="s">
        <v>84</v>
      </c>
      <c r="D65" s="10" t="s">
        <v>83</v>
      </c>
      <c r="E65" s="11">
        <v>41036</v>
      </c>
      <c r="F65" s="11">
        <v>41036</v>
      </c>
      <c r="G65" s="12">
        <v>10</v>
      </c>
      <c r="H65" s="12">
        <v>120</v>
      </c>
      <c r="I65" s="13">
        <v>174.11</v>
      </c>
      <c r="J65" s="13">
        <v>0</v>
      </c>
      <c r="K65" s="13">
        <f t="shared" si="12"/>
        <v>174.11</v>
      </c>
      <c r="L65" s="13">
        <v>174.11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3">
        <f t="shared" si="9"/>
        <v>0</v>
      </c>
      <c r="Z65" s="13">
        <f t="shared" si="10"/>
        <v>174.11</v>
      </c>
      <c r="AA65" s="13">
        <f t="shared" si="11"/>
        <v>0</v>
      </c>
    </row>
    <row r="66" spans="1:27" ht="15" customHeight="1" x14ac:dyDescent="0.2">
      <c r="A66" s="20"/>
      <c r="C66" s="10" t="s">
        <v>153</v>
      </c>
      <c r="D66" s="10" t="s">
        <v>154</v>
      </c>
      <c r="E66" s="11">
        <v>41054</v>
      </c>
      <c r="F66" s="11">
        <v>41061</v>
      </c>
      <c r="G66" s="12">
        <v>10</v>
      </c>
      <c r="H66" s="12">
        <v>120</v>
      </c>
      <c r="I66" s="13">
        <v>178.55</v>
      </c>
      <c r="J66" s="13">
        <v>0</v>
      </c>
      <c r="K66" s="13">
        <f t="shared" si="12"/>
        <v>178.55</v>
      </c>
      <c r="L66" s="13">
        <v>178.55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3">
        <f t="shared" si="9"/>
        <v>0</v>
      </c>
      <c r="Z66" s="13">
        <f t="shared" si="10"/>
        <v>178.55</v>
      </c>
      <c r="AA66" s="13">
        <f t="shared" si="11"/>
        <v>0</v>
      </c>
    </row>
    <row r="67" spans="1:27" ht="15" customHeight="1" x14ac:dyDescent="0.2">
      <c r="A67" s="20"/>
      <c r="C67" s="10" t="s">
        <v>87</v>
      </c>
      <c r="D67" s="10" t="s">
        <v>88</v>
      </c>
      <c r="E67" s="11">
        <v>41085</v>
      </c>
      <c r="F67" s="11">
        <v>41091</v>
      </c>
      <c r="G67" s="12">
        <v>3</v>
      </c>
      <c r="H67" s="12">
        <v>120</v>
      </c>
      <c r="I67" s="13">
        <v>247.77</v>
      </c>
      <c r="J67" s="13">
        <v>0</v>
      </c>
      <c r="K67" s="13">
        <f t="shared" si="12"/>
        <v>247.77</v>
      </c>
      <c r="L67" s="13">
        <v>247.77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3">
        <f t="shared" si="9"/>
        <v>0</v>
      </c>
      <c r="Z67" s="13">
        <f t="shared" si="10"/>
        <v>247.77</v>
      </c>
      <c r="AA67" s="13">
        <f t="shared" si="11"/>
        <v>0</v>
      </c>
    </row>
    <row r="68" spans="1:27" ht="15" customHeight="1" x14ac:dyDescent="0.2">
      <c r="A68" s="20"/>
      <c r="C68" s="10" t="s">
        <v>135</v>
      </c>
      <c r="D68" s="10" t="s">
        <v>136</v>
      </c>
      <c r="E68" s="11">
        <v>41089</v>
      </c>
      <c r="F68" s="11">
        <v>41091</v>
      </c>
      <c r="G68" s="12">
        <v>3</v>
      </c>
      <c r="H68" s="12">
        <v>120</v>
      </c>
      <c r="I68" s="13">
        <v>1199</v>
      </c>
      <c r="J68" s="13">
        <v>0</v>
      </c>
      <c r="K68" s="13">
        <f t="shared" si="12"/>
        <v>1199</v>
      </c>
      <c r="L68" s="13">
        <v>1199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3">
        <f t="shared" si="9"/>
        <v>0</v>
      </c>
      <c r="Z68" s="13">
        <f t="shared" si="10"/>
        <v>1199</v>
      </c>
      <c r="AA68" s="13">
        <f t="shared" si="11"/>
        <v>0</v>
      </c>
    </row>
    <row r="69" spans="1:27" ht="15" customHeight="1" x14ac:dyDescent="0.2">
      <c r="A69" s="20"/>
      <c r="C69" s="10" t="s">
        <v>149</v>
      </c>
      <c r="D69" s="10" t="s">
        <v>150</v>
      </c>
      <c r="E69" s="11">
        <v>41127</v>
      </c>
      <c r="F69" s="11">
        <v>41153</v>
      </c>
      <c r="G69" s="12">
        <v>10</v>
      </c>
      <c r="H69" s="12">
        <v>120</v>
      </c>
      <c r="I69" s="13">
        <v>107.15</v>
      </c>
      <c r="J69" s="13">
        <v>0</v>
      </c>
      <c r="K69" s="13">
        <f t="shared" si="12"/>
        <v>107.15</v>
      </c>
      <c r="L69" s="13">
        <v>107.15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3">
        <f t="shared" si="9"/>
        <v>0</v>
      </c>
      <c r="Z69" s="13">
        <f t="shared" si="10"/>
        <v>107.15</v>
      </c>
      <c r="AA69" s="13">
        <f t="shared" si="11"/>
        <v>0</v>
      </c>
    </row>
    <row r="70" spans="1:27" ht="15" customHeight="1" x14ac:dyDescent="0.2">
      <c r="A70" s="20"/>
      <c r="C70" s="10" t="s">
        <v>109</v>
      </c>
      <c r="D70" s="10" t="s">
        <v>110</v>
      </c>
      <c r="E70" s="11">
        <v>41135</v>
      </c>
      <c r="F70" s="11">
        <v>41153</v>
      </c>
      <c r="G70" s="12">
        <v>10</v>
      </c>
      <c r="H70" s="12">
        <v>120</v>
      </c>
      <c r="I70" s="13">
        <v>70</v>
      </c>
      <c r="J70" s="13">
        <v>0</v>
      </c>
      <c r="K70" s="13">
        <f t="shared" si="12"/>
        <v>70</v>
      </c>
      <c r="L70" s="13">
        <v>70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3">
        <f t="shared" si="9"/>
        <v>0</v>
      </c>
      <c r="Z70" s="13">
        <f t="shared" si="10"/>
        <v>70</v>
      </c>
      <c r="AA70" s="13">
        <f t="shared" si="11"/>
        <v>0</v>
      </c>
    </row>
    <row r="71" spans="1:27" ht="15" customHeight="1" x14ac:dyDescent="0.2">
      <c r="A71" s="20"/>
      <c r="C71" s="10" t="s">
        <v>125</v>
      </c>
      <c r="D71" s="10" t="s">
        <v>126</v>
      </c>
      <c r="E71" s="11">
        <v>41135</v>
      </c>
      <c r="F71" s="11">
        <v>41153</v>
      </c>
      <c r="G71" s="12">
        <v>10</v>
      </c>
      <c r="H71" s="12">
        <v>120</v>
      </c>
      <c r="I71" s="13">
        <v>45</v>
      </c>
      <c r="J71" s="13">
        <v>0</v>
      </c>
      <c r="K71" s="13">
        <f t="shared" si="12"/>
        <v>45</v>
      </c>
      <c r="L71" s="13">
        <v>45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3">
        <f t="shared" si="9"/>
        <v>0</v>
      </c>
      <c r="Z71" s="13">
        <f t="shared" si="10"/>
        <v>45</v>
      </c>
      <c r="AA71" s="13">
        <f t="shared" si="11"/>
        <v>0</v>
      </c>
    </row>
    <row r="72" spans="1:27" ht="15" customHeight="1" x14ac:dyDescent="0.2">
      <c r="A72" s="20"/>
      <c r="C72" s="10" t="s">
        <v>127</v>
      </c>
      <c r="D72" s="10" t="s">
        <v>128</v>
      </c>
      <c r="E72" s="11">
        <v>41135</v>
      </c>
      <c r="F72" s="11">
        <v>41153</v>
      </c>
      <c r="G72" s="12">
        <v>10</v>
      </c>
      <c r="H72" s="12">
        <v>120</v>
      </c>
      <c r="I72" s="13">
        <v>77</v>
      </c>
      <c r="J72" s="13">
        <v>0</v>
      </c>
      <c r="K72" s="13">
        <f t="shared" si="12"/>
        <v>77</v>
      </c>
      <c r="L72" s="13">
        <v>77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3">
        <f t="shared" si="9"/>
        <v>0</v>
      </c>
      <c r="Z72" s="13">
        <f t="shared" si="10"/>
        <v>77</v>
      </c>
      <c r="AA72" s="13">
        <f t="shared" si="11"/>
        <v>0</v>
      </c>
    </row>
    <row r="73" spans="1:27" ht="15" customHeight="1" x14ac:dyDescent="0.2">
      <c r="A73" s="20"/>
      <c r="C73" s="10" t="s">
        <v>155</v>
      </c>
      <c r="D73" s="10" t="s">
        <v>156</v>
      </c>
      <c r="E73" s="11">
        <v>41186</v>
      </c>
      <c r="F73" s="11">
        <v>41186</v>
      </c>
      <c r="G73" s="12">
        <v>10</v>
      </c>
      <c r="H73" s="12">
        <v>120</v>
      </c>
      <c r="I73" s="13">
        <v>178.57</v>
      </c>
      <c r="J73" s="13">
        <v>0</v>
      </c>
      <c r="K73" s="13">
        <f t="shared" si="12"/>
        <v>178.57</v>
      </c>
      <c r="L73" s="13">
        <v>178.57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3">
        <f t="shared" ref="Y73:Y91" si="13">SUM(M73:X73)</f>
        <v>0</v>
      </c>
      <c r="Z73" s="13">
        <f t="shared" ref="Z73:Z91" si="14">+L73+Y73</f>
        <v>178.57</v>
      </c>
      <c r="AA73" s="13">
        <f t="shared" ref="AA73:AA91" si="15">+I73-Z73</f>
        <v>0</v>
      </c>
    </row>
    <row r="74" spans="1:27" ht="15" customHeight="1" x14ac:dyDescent="0.2">
      <c r="A74" s="20"/>
      <c r="C74" s="10" t="s">
        <v>141</v>
      </c>
      <c r="D74" s="10" t="s">
        <v>142</v>
      </c>
      <c r="E74" s="11">
        <v>41197</v>
      </c>
      <c r="F74" s="11">
        <v>41197</v>
      </c>
      <c r="G74" s="12">
        <v>10</v>
      </c>
      <c r="H74" s="12">
        <v>120</v>
      </c>
      <c r="I74" s="13">
        <v>58.04</v>
      </c>
      <c r="J74" s="13">
        <v>0</v>
      </c>
      <c r="K74" s="13">
        <f t="shared" si="12"/>
        <v>58.04</v>
      </c>
      <c r="L74" s="13">
        <v>58.04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3">
        <f t="shared" si="13"/>
        <v>0</v>
      </c>
      <c r="Z74" s="13">
        <f t="shared" si="14"/>
        <v>58.04</v>
      </c>
      <c r="AA74" s="13">
        <f t="shared" si="15"/>
        <v>0</v>
      </c>
    </row>
    <row r="75" spans="1:27" ht="15" customHeight="1" x14ac:dyDescent="0.2">
      <c r="A75" s="20"/>
      <c r="C75" s="10" t="s">
        <v>71</v>
      </c>
      <c r="D75" s="10" t="s">
        <v>72</v>
      </c>
      <c r="E75" s="11">
        <v>41200</v>
      </c>
      <c r="F75" s="11">
        <v>41214</v>
      </c>
      <c r="G75" s="12">
        <v>10</v>
      </c>
      <c r="H75" s="12">
        <v>120</v>
      </c>
      <c r="I75" s="13">
        <v>89.29</v>
      </c>
      <c r="J75" s="13">
        <v>0</v>
      </c>
      <c r="K75" s="13">
        <f t="shared" si="12"/>
        <v>89.29</v>
      </c>
      <c r="L75" s="13">
        <v>89.29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3">
        <f t="shared" si="13"/>
        <v>0</v>
      </c>
      <c r="Z75" s="13">
        <f t="shared" si="14"/>
        <v>89.29</v>
      </c>
      <c r="AA75" s="13">
        <f t="shared" si="15"/>
        <v>0</v>
      </c>
    </row>
    <row r="76" spans="1:27" ht="15" customHeight="1" x14ac:dyDescent="0.2">
      <c r="A76" s="20"/>
      <c r="C76" s="10" t="s">
        <v>97</v>
      </c>
      <c r="D76" s="10" t="s">
        <v>98</v>
      </c>
      <c r="E76" s="11">
        <v>41200</v>
      </c>
      <c r="F76" s="11">
        <v>41214</v>
      </c>
      <c r="G76" s="12">
        <v>10</v>
      </c>
      <c r="H76" s="12">
        <v>120</v>
      </c>
      <c r="I76" s="13">
        <v>183.04</v>
      </c>
      <c r="J76" s="13">
        <v>0</v>
      </c>
      <c r="K76" s="13">
        <f t="shared" si="12"/>
        <v>183.04</v>
      </c>
      <c r="L76" s="13">
        <v>183.04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3">
        <f t="shared" si="13"/>
        <v>0</v>
      </c>
      <c r="Z76" s="13">
        <f t="shared" si="14"/>
        <v>183.04</v>
      </c>
      <c r="AA76" s="13">
        <f t="shared" si="15"/>
        <v>0</v>
      </c>
    </row>
    <row r="77" spans="1:27" ht="15" customHeight="1" x14ac:dyDescent="0.2">
      <c r="A77" s="20"/>
      <c r="C77" s="10" t="s">
        <v>85</v>
      </c>
      <c r="D77" s="10" t="s">
        <v>86</v>
      </c>
      <c r="E77" s="11">
        <v>41222</v>
      </c>
      <c r="F77" s="11">
        <v>41222</v>
      </c>
      <c r="G77" s="12">
        <v>3</v>
      </c>
      <c r="H77" s="12">
        <v>120</v>
      </c>
      <c r="I77" s="13">
        <v>267.86</v>
      </c>
      <c r="J77" s="13">
        <v>0</v>
      </c>
      <c r="K77" s="13">
        <f t="shared" si="12"/>
        <v>267.86</v>
      </c>
      <c r="L77" s="13">
        <v>267.86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3">
        <f t="shared" si="13"/>
        <v>0</v>
      </c>
      <c r="Z77" s="13">
        <f t="shared" si="14"/>
        <v>267.86</v>
      </c>
      <c r="AA77" s="13">
        <f t="shared" si="15"/>
        <v>0</v>
      </c>
    </row>
    <row r="78" spans="1:27" ht="15" customHeight="1" x14ac:dyDescent="0.2">
      <c r="A78" s="20"/>
      <c r="C78" s="10" t="s">
        <v>143</v>
      </c>
      <c r="D78" s="10" t="s">
        <v>142</v>
      </c>
      <c r="E78" s="11">
        <v>41222</v>
      </c>
      <c r="F78" s="11">
        <v>41222</v>
      </c>
      <c r="G78" s="12">
        <v>10</v>
      </c>
      <c r="H78" s="12">
        <v>120</v>
      </c>
      <c r="I78" s="13">
        <v>71.430000000000007</v>
      </c>
      <c r="J78" s="13">
        <v>0</v>
      </c>
      <c r="K78" s="13">
        <f t="shared" si="12"/>
        <v>71.430000000000007</v>
      </c>
      <c r="L78" s="13">
        <v>71.430000000000007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3">
        <f t="shared" si="13"/>
        <v>0</v>
      </c>
      <c r="Z78" s="13">
        <f t="shared" si="14"/>
        <v>71.430000000000007</v>
      </c>
      <c r="AA78" s="13">
        <f t="shared" si="15"/>
        <v>0</v>
      </c>
    </row>
    <row r="79" spans="1:27" ht="15" customHeight="1" x14ac:dyDescent="0.2">
      <c r="A79" s="20"/>
      <c r="C79" s="10" t="s">
        <v>144</v>
      </c>
      <c r="D79" s="10" t="s">
        <v>142</v>
      </c>
      <c r="E79" s="11">
        <v>41254</v>
      </c>
      <c r="F79" s="11">
        <v>41254</v>
      </c>
      <c r="G79" s="12">
        <v>10</v>
      </c>
      <c r="H79" s="12">
        <v>120</v>
      </c>
      <c r="I79" s="13">
        <v>84.82</v>
      </c>
      <c r="J79" s="13">
        <v>0</v>
      </c>
      <c r="K79" s="13">
        <f t="shared" si="12"/>
        <v>84.82</v>
      </c>
      <c r="L79" s="13">
        <v>84.82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3">
        <f t="shared" si="13"/>
        <v>0</v>
      </c>
      <c r="Z79" s="13">
        <f t="shared" si="14"/>
        <v>84.82</v>
      </c>
      <c r="AA79" s="13">
        <f t="shared" si="15"/>
        <v>0</v>
      </c>
    </row>
    <row r="80" spans="1:27" ht="15" customHeight="1" x14ac:dyDescent="0.2">
      <c r="A80" s="20"/>
      <c r="C80" s="10" t="s">
        <v>151</v>
      </c>
      <c r="D80" s="10" t="s">
        <v>152</v>
      </c>
      <c r="E80" s="11">
        <v>41254</v>
      </c>
      <c r="F80" s="11">
        <v>41275</v>
      </c>
      <c r="G80" s="12">
        <v>10</v>
      </c>
      <c r="H80" s="12">
        <v>120</v>
      </c>
      <c r="I80" s="13">
        <v>214.29</v>
      </c>
      <c r="J80" s="13">
        <v>0</v>
      </c>
      <c r="K80" s="13">
        <f t="shared" si="12"/>
        <v>214.29</v>
      </c>
      <c r="L80" s="13">
        <v>214.29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3">
        <f t="shared" si="13"/>
        <v>0</v>
      </c>
      <c r="Z80" s="13">
        <f t="shared" si="14"/>
        <v>214.29</v>
      </c>
      <c r="AA80" s="13">
        <f t="shared" si="15"/>
        <v>0</v>
      </c>
    </row>
    <row r="81" spans="1:27" ht="15" customHeight="1" x14ac:dyDescent="0.2">
      <c r="A81" s="20"/>
      <c r="C81" s="10" t="s">
        <v>63</v>
      </c>
      <c r="D81" s="10" t="s">
        <v>64</v>
      </c>
      <c r="E81" s="11">
        <v>41257</v>
      </c>
      <c r="F81" s="11">
        <v>41275</v>
      </c>
      <c r="G81" s="12">
        <v>10</v>
      </c>
      <c r="H81" s="12">
        <v>120</v>
      </c>
      <c r="I81" s="13">
        <v>500</v>
      </c>
      <c r="J81" s="13">
        <v>0</v>
      </c>
      <c r="K81" s="13">
        <f t="shared" si="12"/>
        <v>500</v>
      </c>
      <c r="L81" s="13">
        <v>500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3">
        <f t="shared" si="13"/>
        <v>0</v>
      </c>
      <c r="Z81" s="13">
        <f t="shared" si="14"/>
        <v>500</v>
      </c>
      <c r="AA81" s="13">
        <f t="shared" si="15"/>
        <v>0</v>
      </c>
    </row>
    <row r="82" spans="1:27" ht="15" customHeight="1" x14ac:dyDescent="0.2">
      <c r="A82" s="20"/>
      <c r="C82" s="10" t="s">
        <v>93</v>
      </c>
      <c r="D82" s="10" t="s">
        <v>94</v>
      </c>
      <c r="E82" s="11">
        <v>41257</v>
      </c>
      <c r="F82" s="11">
        <v>41275</v>
      </c>
      <c r="G82" s="12">
        <v>10</v>
      </c>
      <c r="H82" s="12">
        <v>120</v>
      </c>
      <c r="I82" s="13">
        <v>196.43</v>
      </c>
      <c r="J82" s="13">
        <v>0</v>
      </c>
      <c r="K82" s="13">
        <f t="shared" si="12"/>
        <v>196.43</v>
      </c>
      <c r="L82" s="13">
        <v>196.43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3">
        <f t="shared" si="13"/>
        <v>0</v>
      </c>
      <c r="Z82" s="13">
        <f t="shared" si="14"/>
        <v>196.43</v>
      </c>
      <c r="AA82" s="13">
        <f t="shared" si="15"/>
        <v>0</v>
      </c>
    </row>
    <row r="83" spans="1:27" ht="15" customHeight="1" x14ac:dyDescent="0.2">
      <c r="A83" s="20"/>
      <c r="C83" s="10" t="s">
        <v>91</v>
      </c>
      <c r="D83" s="10" t="s">
        <v>92</v>
      </c>
      <c r="E83" s="11">
        <v>41292</v>
      </c>
      <c r="F83" s="11">
        <v>41306</v>
      </c>
      <c r="G83" s="12">
        <v>3</v>
      </c>
      <c r="H83" s="12">
        <v>120</v>
      </c>
      <c r="I83" s="13">
        <v>732</v>
      </c>
      <c r="J83" s="13">
        <v>0</v>
      </c>
      <c r="K83" s="13">
        <f t="shared" si="12"/>
        <v>732</v>
      </c>
      <c r="L83" s="13">
        <v>732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3">
        <f t="shared" si="13"/>
        <v>0</v>
      </c>
      <c r="Z83" s="13">
        <f t="shared" si="14"/>
        <v>732</v>
      </c>
      <c r="AA83" s="13">
        <f t="shared" si="15"/>
        <v>0</v>
      </c>
    </row>
    <row r="84" spans="1:27" ht="15" customHeight="1" x14ac:dyDescent="0.2">
      <c r="A84" s="20"/>
      <c r="C84" s="10" t="s">
        <v>82</v>
      </c>
      <c r="D84" s="10" t="s">
        <v>83</v>
      </c>
      <c r="E84" s="11">
        <v>41310</v>
      </c>
      <c r="F84" s="11">
        <v>41310</v>
      </c>
      <c r="G84" s="12">
        <v>10</v>
      </c>
      <c r="H84" s="12">
        <v>120</v>
      </c>
      <c r="I84" s="13">
        <v>174.11</v>
      </c>
      <c r="J84" s="13">
        <v>0</v>
      </c>
      <c r="K84" s="13">
        <f t="shared" si="12"/>
        <v>174.11</v>
      </c>
      <c r="L84" s="13">
        <v>174.11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3">
        <f t="shared" si="13"/>
        <v>0</v>
      </c>
      <c r="Z84" s="13">
        <f t="shared" si="14"/>
        <v>174.11</v>
      </c>
      <c r="AA84" s="13">
        <f t="shared" si="15"/>
        <v>0</v>
      </c>
    </row>
    <row r="85" spans="1:27" ht="15" customHeight="1" x14ac:dyDescent="0.2">
      <c r="A85" s="20"/>
      <c r="C85" s="10" t="s">
        <v>99</v>
      </c>
      <c r="D85" s="10" t="s">
        <v>100</v>
      </c>
      <c r="E85" s="11">
        <v>41527</v>
      </c>
      <c r="F85" s="11">
        <v>41527</v>
      </c>
      <c r="G85" s="12">
        <v>10</v>
      </c>
      <c r="H85" s="12">
        <v>120</v>
      </c>
      <c r="I85" s="13">
        <v>191.96</v>
      </c>
      <c r="J85" s="13">
        <v>0</v>
      </c>
      <c r="K85" s="13">
        <f t="shared" si="12"/>
        <v>191.96</v>
      </c>
      <c r="L85" s="13">
        <v>191.96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3">
        <f t="shared" si="13"/>
        <v>0</v>
      </c>
      <c r="Z85" s="13">
        <f t="shared" si="14"/>
        <v>191.96</v>
      </c>
      <c r="AA85" s="13">
        <f t="shared" si="15"/>
        <v>0</v>
      </c>
    </row>
    <row r="86" spans="1:27" ht="15" customHeight="1" x14ac:dyDescent="0.2">
      <c r="A86" s="20"/>
      <c r="C86" s="10" t="s">
        <v>101</v>
      </c>
      <c r="D86" s="10" t="s">
        <v>102</v>
      </c>
      <c r="E86" s="11">
        <v>41787</v>
      </c>
      <c r="F86" s="11">
        <v>41791</v>
      </c>
      <c r="G86" s="12">
        <v>10</v>
      </c>
      <c r="H86" s="12">
        <v>120</v>
      </c>
      <c r="I86" s="13">
        <v>230</v>
      </c>
      <c r="J86" s="13">
        <f>+I86*10%</f>
        <v>23</v>
      </c>
      <c r="K86" s="13">
        <f t="shared" si="12"/>
        <v>207</v>
      </c>
      <c r="L86" s="13">
        <v>207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3">
        <f t="shared" si="13"/>
        <v>0</v>
      </c>
      <c r="Z86" s="13">
        <f t="shared" si="14"/>
        <v>207</v>
      </c>
      <c r="AA86" s="13">
        <f t="shared" si="15"/>
        <v>23</v>
      </c>
    </row>
    <row r="87" spans="1:27" ht="15" customHeight="1" x14ac:dyDescent="0.2">
      <c r="A87" s="20"/>
      <c r="C87" s="10" t="s">
        <v>75</v>
      </c>
      <c r="D87" s="10" t="s">
        <v>76</v>
      </c>
      <c r="E87" s="11">
        <v>41856</v>
      </c>
      <c r="F87" s="11">
        <v>41856</v>
      </c>
      <c r="G87" s="12">
        <v>10</v>
      </c>
      <c r="H87" s="12">
        <v>120</v>
      </c>
      <c r="I87" s="13">
        <v>290</v>
      </c>
      <c r="J87" s="13">
        <f t="shared" ref="J87:J88" si="16">+I87*10%</f>
        <v>29</v>
      </c>
      <c r="K87" s="13">
        <f t="shared" si="12"/>
        <v>261</v>
      </c>
      <c r="L87" s="13">
        <v>261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3">
        <f t="shared" si="13"/>
        <v>0</v>
      </c>
      <c r="Z87" s="13">
        <f t="shared" si="14"/>
        <v>261</v>
      </c>
      <c r="AA87" s="13">
        <f t="shared" si="15"/>
        <v>29</v>
      </c>
    </row>
    <row r="88" spans="1:27" ht="15" customHeight="1" x14ac:dyDescent="0.2">
      <c r="A88" s="20"/>
      <c r="C88" s="10" t="s">
        <v>137</v>
      </c>
      <c r="D88" s="10" t="s">
        <v>138</v>
      </c>
      <c r="E88" s="11">
        <v>41891</v>
      </c>
      <c r="F88" s="11">
        <v>41891</v>
      </c>
      <c r="G88" s="12">
        <v>10</v>
      </c>
      <c r="H88" s="12">
        <v>120</v>
      </c>
      <c r="I88" s="13">
        <v>750</v>
      </c>
      <c r="J88" s="13">
        <f t="shared" si="16"/>
        <v>75</v>
      </c>
      <c r="K88" s="13">
        <f t="shared" si="12"/>
        <v>675</v>
      </c>
      <c r="L88" s="13">
        <v>675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3">
        <f t="shared" si="13"/>
        <v>0</v>
      </c>
      <c r="Z88" s="13">
        <f t="shared" si="14"/>
        <v>675</v>
      </c>
      <c r="AA88" s="13">
        <f t="shared" si="15"/>
        <v>75</v>
      </c>
    </row>
    <row r="89" spans="1:27" ht="15" customHeight="1" x14ac:dyDescent="0.2">
      <c r="A89" s="20"/>
      <c r="C89" s="10" t="s">
        <v>147</v>
      </c>
      <c r="D89" s="10" t="s">
        <v>148</v>
      </c>
      <c r="E89" s="11">
        <v>42082</v>
      </c>
      <c r="F89" s="11">
        <v>42095</v>
      </c>
      <c r="G89" s="12">
        <v>10</v>
      </c>
      <c r="H89" s="12">
        <v>120</v>
      </c>
      <c r="I89" s="13">
        <v>610</v>
      </c>
      <c r="J89" s="13">
        <v>61</v>
      </c>
      <c r="K89" s="13">
        <f t="shared" si="12"/>
        <v>549</v>
      </c>
      <c r="L89" s="13">
        <v>535.28</v>
      </c>
      <c r="M89" s="13">
        <f t="shared" ref="M89:N91" si="17">+$K89/$H89</f>
        <v>4.5750000000000002</v>
      </c>
      <c r="N89" s="13">
        <f t="shared" si="17"/>
        <v>4.5750000000000002</v>
      </c>
      <c r="O89" s="13">
        <v>4.57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3">
        <f t="shared" si="13"/>
        <v>13.72</v>
      </c>
      <c r="Z89" s="13">
        <f t="shared" si="14"/>
        <v>549</v>
      </c>
      <c r="AA89" s="13">
        <f t="shared" si="15"/>
        <v>61</v>
      </c>
    </row>
    <row r="90" spans="1:27" ht="15" customHeight="1" x14ac:dyDescent="0.2">
      <c r="A90" s="20"/>
      <c r="C90" s="10" t="s">
        <v>133</v>
      </c>
      <c r="D90" s="10" t="s">
        <v>134</v>
      </c>
      <c r="E90" s="11">
        <v>42205</v>
      </c>
      <c r="F90" s="11">
        <v>42217</v>
      </c>
      <c r="G90" s="12">
        <v>10</v>
      </c>
      <c r="H90" s="12">
        <v>120</v>
      </c>
      <c r="I90" s="13">
        <v>555</v>
      </c>
      <c r="J90" s="13">
        <v>55.5</v>
      </c>
      <c r="K90" s="13">
        <f t="shared" si="12"/>
        <v>499.5</v>
      </c>
      <c r="L90" s="13">
        <v>470.36</v>
      </c>
      <c r="M90" s="13">
        <f t="shared" si="17"/>
        <v>4.1624999999999996</v>
      </c>
      <c r="N90" s="13">
        <f t="shared" si="17"/>
        <v>4.1624999999999996</v>
      </c>
      <c r="O90" s="13">
        <f>+$K90/$H90</f>
        <v>4.1624999999999996</v>
      </c>
      <c r="P90" s="13">
        <f>+$K90/$H90</f>
        <v>4.1624999999999996</v>
      </c>
      <c r="Q90" s="13">
        <f>+$K90/$H90</f>
        <v>4.1624999999999996</v>
      </c>
      <c r="R90" s="13">
        <f>+$K90/$H90</f>
        <v>4.1624999999999996</v>
      </c>
      <c r="S90" s="13">
        <f>+$K90/$H90</f>
        <v>4.1624999999999996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3">
        <f t="shared" si="13"/>
        <v>29.137500000000003</v>
      </c>
      <c r="Z90" s="13">
        <f t="shared" si="14"/>
        <v>499.4975</v>
      </c>
      <c r="AA90" s="13">
        <f t="shared" si="15"/>
        <v>55.502499999999998</v>
      </c>
    </row>
    <row r="91" spans="1:27" ht="15" customHeight="1" x14ac:dyDescent="0.2">
      <c r="A91" s="20"/>
      <c r="C91" s="10" t="s">
        <v>131</v>
      </c>
      <c r="D91" s="10" t="s">
        <v>132</v>
      </c>
      <c r="E91" s="11">
        <v>42207</v>
      </c>
      <c r="F91" s="11">
        <v>42217</v>
      </c>
      <c r="G91" s="12">
        <v>10</v>
      </c>
      <c r="H91" s="12">
        <v>120</v>
      </c>
      <c r="I91" s="13">
        <v>250</v>
      </c>
      <c r="J91" s="13">
        <v>25</v>
      </c>
      <c r="K91" s="13">
        <f t="shared" si="12"/>
        <v>225</v>
      </c>
      <c r="L91" s="13">
        <v>211.88</v>
      </c>
      <c r="M91" s="13">
        <f t="shared" si="17"/>
        <v>1.875</v>
      </c>
      <c r="N91" s="13">
        <f t="shared" si="17"/>
        <v>1.875</v>
      </c>
      <c r="O91" s="13">
        <f>+$K91/$H91</f>
        <v>1.875</v>
      </c>
      <c r="P91" s="13">
        <f>+$K91/$H91</f>
        <v>1.875</v>
      </c>
      <c r="Q91" s="13">
        <f>+$K91/$H91</f>
        <v>1.875</v>
      </c>
      <c r="R91" s="13">
        <f>+$K91/$H91</f>
        <v>1.875</v>
      </c>
      <c r="S91" s="13">
        <v>1.87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3">
        <f t="shared" si="13"/>
        <v>13.120000000000001</v>
      </c>
      <c r="Z91" s="13">
        <f t="shared" si="14"/>
        <v>225</v>
      </c>
      <c r="AA91" s="13">
        <f t="shared" si="15"/>
        <v>25</v>
      </c>
    </row>
    <row r="92" spans="1:27" s="18" customFormat="1" x14ac:dyDescent="0.2">
      <c r="C92" s="39" t="s">
        <v>37</v>
      </c>
      <c r="D92" s="39"/>
      <c r="E92" s="39"/>
      <c r="F92" s="39"/>
      <c r="G92" s="39"/>
      <c r="H92" s="39"/>
      <c r="I92" s="16">
        <f t="shared" ref="I92:O92" si="18">SUM(I41:I91)</f>
        <v>21187.87</v>
      </c>
      <c r="J92" s="17">
        <f t="shared" si="18"/>
        <v>268.5</v>
      </c>
      <c r="K92" s="17">
        <f t="shared" si="18"/>
        <v>20919.37</v>
      </c>
      <c r="L92" s="16">
        <f t="shared" si="18"/>
        <v>20863.39</v>
      </c>
      <c r="M92" s="37">
        <f t="shared" si="18"/>
        <v>10.612500000000001</v>
      </c>
      <c r="N92" s="37">
        <f t="shared" si="18"/>
        <v>10.612500000000001</v>
      </c>
      <c r="O92" s="37">
        <f t="shared" si="18"/>
        <v>10.6075</v>
      </c>
      <c r="P92" s="37">
        <f t="shared" ref="P92:AA92" si="19">SUM(P41:P91)</f>
        <v>6.0374999999999996</v>
      </c>
      <c r="Q92" s="37">
        <f t="shared" si="19"/>
        <v>6.0374999999999996</v>
      </c>
      <c r="R92" s="37">
        <f t="shared" si="19"/>
        <v>6.0374999999999996</v>
      </c>
      <c r="S92" s="37">
        <f t="shared" si="19"/>
        <v>6.0324999999999998</v>
      </c>
      <c r="T92" s="17">
        <f t="shared" si="19"/>
        <v>0</v>
      </c>
      <c r="U92" s="17">
        <f t="shared" si="19"/>
        <v>0</v>
      </c>
      <c r="V92" s="17">
        <f t="shared" si="19"/>
        <v>0</v>
      </c>
      <c r="W92" s="17">
        <f t="shared" si="19"/>
        <v>0</v>
      </c>
      <c r="X92" s="17">
        <f t="shared" si="19"/>
        <v>0</v>
      </c>
      <c r="Y92" s="17">
        <f t="shared" si="19"/>
        <v>55.977500000000006</v>
      </c>
      <c r="Z92" s="17">
        <f t="shared" si="19"/>
        <v>20919.3675</v>
      </c>
      <c r="AA92" s="17">
        <f t="shared" si="19"/>
        <v>268.5025</v>
      </c>
    </row>
    <row r="96" spans="1:27" x14ac:dyDescent="0.2">
      <c r="C96" s="21" t="s">
        <v>280</v>
      </c>
    </row>
    <row r="97" spans="3:27" ht="15" customHeight="1" x14ac:dyDescent="0.2">
      <c r="C97" s="10" t="s">
        <v>171</v>
      </c>
      <c r="D97" s="10" t="s">
        <v>172</v>
      </c>
      <c r="E97" s="11">
        <v>39526</v>
      </c>
      <c r="F97" s="11">
        <v>39539</v>
      </c>
      <c r="G97" s="12">
        <v>3</v>
      </c>
      <c r="H97" s="23">
        <v>36</v>
      </c>
      <c r="I97" s="13">
        <v>697</v>
      </c>
      <c r="J97" s="13">
        <v>0</v>
      </c>
      <c r="K97" s="13">
        <f>+I97-J97</f>
        <v>697</v>
      </c>
      <c r="L97" s="13">
        <v>697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3">
        <f t="shared" ref="Y97:Y160" si="20">SUM(M97:X97)</f>
        <v>0</v>
      </c>
      <c r="Z97" s="13">
        <f t="shared" ref="Z97" si="21">+L97+Y97</f>
        <v>697</v>
      </c>
      <c r="AA97" s="13">
        <f t="shared" ref="AA97" si="22">+I97-Z97</f>
        <v>0</v>
      </c>
    </row>
    <row r="98" spans="3:27" ht="15" customHeight="1" x14ac:dyDescent="0.2">
      <c r="C98" s="10" t="s">
        <v>173</v>
      </c>
      <c r="D98" s="10" t="s">
        <v>172</v>
      </c>
      <c r="E98" s="11">
        <v>39598</v>
      </c>
      <c r="F98" s="11">
        <v>39600</v>
      </c>
      <c r="G98" s="12">
        <v>3</v>
      </c>
      <c r="H98" s="23">
        <v>36</v>
      </c>
      <c r="I98" s="13">
        <v>487</v>
      </c>
      <c r="J98" s="13">
        <v>0</v>
      </c>
      <c r="K98" s="13">
        <f t="shared" ref="K98:K160" si="23">+I98-J98</f>
        <v>487</v>
      </c>
      <c r="L98" s="13">
        <v>487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3">
        <f t="shared" si="20"/>
        <v>0</v>
      </c>
      <c r="Z98" s="13">
        <f t="shared" ref="Z98:Z161" si="24">+L98+Y98</f>
        <v>487</v>
      </c>
      <c r="AA98" s="13">
        <f t="shared" ref="AA98:AA162" si="25">+I98-Z98</f>
        <v>0</v>
      </c>
    </row>
    <row r="99" spans="3:27" ht="15" customHeight="1" x14ac:dyDescent="0.2">
      <c r="C99" s="10" t="s">
        <v>174</v>
      </c>
      <c r="D99" s="10" t="s">
        <v>172</v>
      </c>
      <c r="E99" s="11">
        <v>39883</v>
      </c>
      <c r="F99" s="11">
        <v>39873</v>
      </c>
      <c r="G99" s="12">
        <v>3</v>
      </c>
      <c r="H99" s="23">
        <v>36</v>
      </c>
      <c r="I99" s="13">
        <v>2203.5700000000002</v>
      </c>
      <c r="J99" s="13">
        <v>0</v>
      </c>
      <c r="K99" s="13">
        <f t="shared" si="23"/>
        <v>2203.5700000000002</v>
      </c>
      <c r="L99" s="13">
        <v>2203.5700000000002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3">
        <f t="shared" si="20"/>
        <v>0</v>
      </c>
      <c r="Z99" s="13">
        <f t="shared" si="24"/>
        <v>2203.5700000000002</v>
      </c>
      <c r="AA99" s="13">
        <f t="shared" si="25"/>
        <v>0</v>
      </c>
    </row>
    <row r="100" spans="3:27" ht="15" customHeight="1" x14ac:dyDescent="0.2">
      <c r="C100" s="10" t="s">
        <v>175</v>
      </c>
      <c r="D100" s="10" t="s">
        <v>176</v>
      </c>
      <c r="E100" s="11">
        <v>39889</v>
      </c>
      <c r="F100" s="11">
        <v>39904</v>
      </c>
      <c r="G100" s="12">
        <v>3</v>
      </c>
      <c r="H100" s="23">
        <v>36</v>
      </c>
      <c r="I100" s="13">
        <v>550.89</v>
      </c>
      <c r="J100" s="13">
        <v>0</v>
      </c>
      <c r="K100" s="13">
        <f t="shared" si="23"/>
        <v>550.89</v>
      </c>
      <c r="L100" s="13">
        <v>550.89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3">
        <f t="shared" si="20"/>
        <v>0</v>
      </c>
      <c r="Z100" s="13">
        <f t="shared" si="24"/>
        <v>550.89</v>
      </c>
      <c r="AA100" s="13">
        <f t="shared" si="25"/>
        <v>0</v>
      </c>
    </row>
    <row r="101" spans="3:27" ht="15" customHeight="1" x14ac:dyDescent="0.2">
      <c r="C101" s="10" t="s">
        <v>177</v>
      </c>
      <c r="D101" s="10" t="s">
        <v>178</v>
      </c>
      <c r="E101" s="11">
        <v>39890</v>
      </c>
      <c r="F101" s="11">
        <v>39904</v>
      </c>
      <c r="G101" s="12">
        <v>3</v>
      </c>
      <c r="H101" s="23">
        <v>36</v>
      </c>
      <c r="I101" s="13">
        <v>364.29</v>
      </c>
      <c r="J101" s="13">
        <v>0</v>
      </c>
      <c r="K101" s="13">
        <f t="shared" si="23"/>
        <v>364.29</v>
      </c>
      <c r="L101" s="13">
        <v>364.29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3">
        <f t="shared" si="20"/>
        <v>0</v>
      </c>
      <c r="Z101" s="13">
        <f t="shared" si="24"/>
        <v>364.29</v>
      </c>
      <c r="AA101" s="13">
        <f t="shared" si="25"/>
        <v>0</v>
      </c>
    </row>
    <row r="102" spans="3:27" ht="15" customHeight="1" x14ac:dyDescent="0.2">
      <c r="C102" s="10" t="s">
        <v>179</v>
      </c>
      <c r="D102" s="10" t="s">
        <v>178</v>
      </c>
      <c r="E102" s="11">
        <v>39890</v>
      </c>
      <c r="F102" s="11">
        <v>39904</v>
      </c>
      <c r="G102" s="12">
        <v>3</v>
      </c>
      <c r="H102" s="23">
        <v>36</v>
      </c>
      <c r="I102" s="13">
        <v>364.29</v>
      </c>
      <c r="J102" s="13">
        <v>0</v>
      </c>
      <c r="K102" s="13">
        <f t="shared" si="23"/>
        <v>364.29</v>
      </c>
      <c r="L102" s="13">
        <v>364.29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3">
        <f t="shared" si="20"/>
        <v>0</v>
      </c>
      <c r="Z102" s="13">
        <f t="shared" si="24"/>
        <v>364.29</v>
      </c>
      <c r="AA102" s="13">
        <f t="shared" si="25"/>
        <v>0</v>
      </c>
    </row>
    <row r="103" spans="3:27" ht="15" customHeight="1" x14ac:dyDescent="0.2">
      <c r="C103" s="10" t="s">
        <v>180</v>
      </c>
      <c r="D103" s="10" t="s">
        <v>178</v>
      </c>
      <c r="E103" s="11">
        <v>39890</v>
      </c>
      <c r="F103" s="11">
        <v>39904</v>
      </c>
      <c r="G103" s="12">
        <v>3</v>
      </c>
      <c r="H103" s="23">
        <v>36</v>
      </c>
      <c r="I103" s="13">
        <v>364.29</v>
      </c>
      <c r="J103" s="13">
        <v>0</v>
      </c>
      <c r="K103" s="13">
        <f t="shared" si="23"/>
        <v>364.29</v>
      </c>
      <c r="L103" s="13">
        <v>364.29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3">
        <f t="shared" si="20"/>
        <v>0</v>
      </c>
      <c r="Z103" s="13">
        <f t="shared" si="24"/>
        <v>364.29</v>
      </c>
      <c r="AA103" s="13">
        <f t="shared" si="25"/>
        <v>0</v>
      </c>
    </row>
    <row r="104" spans="3:27" ht="15" customHeight="1" x14ac:dyDescent="0.2">
      <c r="C104" s="10" t="s">
        <v>181</v>
      </c>
      <c r="D104" s="10" t="s">
        <v>182</v>
      </c>
      <c r="E104" s="11">
        <v>39904</v>
      </c>
      <c r="F104" s="11">
        <v>39904</v>
      </c>
      <c r="G104" s="12">
        <v>3</v>
      </c>
      <c r="H104" s="23">
        <v>36</v>
      </c>
      <c r="I104" s="13">
        <v>1590</v>
      </c>
      <c r="J104" s="13">
        <v>0</v>
      </c>
      <c r="K104" s="13">
        <f t="shared" si="23"/>
        <v>1590</v>
      </c>
      <c r="L104" s="13">
        <v>1590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3">
        <f t="shared" si="20"/>
        <v>0</v>
      </c>
      <c r="Z104" s="13">
        <f t="shared" si="24"/>
        <v>1590</v>
      </c>
      <c r="AA104" s="13">
        <f t="shared" si="25"/>
        <v>0</v>
      </c>
    </row>
    <row r="105" spans="3:27" ht="15" customHeight="1" x14ac:dyDescent="0.2">
      <c r="C105" s="10" t="s">
        <v>183</v>
      </c>
      <c r="D105" s="10" t="s">
        <v>172</v>
      </c>
      <c r="E105" s="11">
        <v>39924</v>
      </c>
      <c r="F105" s="11">
        <v>39934</v>
      </c>
      <c r="G105" s="12">
        <v>3</v>
      </c>
      <c r="H105" s="23">
        <v>36</v>
      </c>
      <c r="I105" s="13">
        <v>550.89</v>
      </c>
      <c r="J105" s="13">
        <v>0</v>
      </c>
      <c r="K105" s="13">
        <f t="shared" si="23"/>
        <v>550.89</v>
      </c>
      <c r="L105" s="13">
        <v>550.89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3">
        <f t="shared" si="20"/>
        <v>0</v>
      </c>
      <c r="Z105" s="13">
        <f t="shared" si="24"/>
        <v>550.89</v>
      </c>
      <c r="AA105" s="13">
        <f t="shared" si="25"/>
        <v>0</v>
      </c>
    </row>
    <row r="106" spans="3:27" ht="15" customHeight="1" x14ac:dyDescent="0.2">
      <c r="C106" s="10" t="s">
        <v>184</v>
      </c>
      <c r="D106" s="10" t="s">
        <v>185</v>
      </c>
      <c r="E106" s="11">
        <v>40064</v>
      </c>
      <c r="F106" s="11">
        <v>40064</v>
      </c>
      <c r="G106" s="12">
        <v>3</v>
      </c>
      <c r="H106" s="23">
        <v>36</v>
      </c>
      <c r="I106" s="13">
        <v>405</v>
      </c>
      <c r="J106" s="13">
        <v>0</v>
      </c>
      <c r="K106" s="13">
        <f t="shared" si="23"/>
        <v>405</v>
      </c>
      <c r="L106" s="13">
        <v>405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3">
        <f t="shared" si="20"/>
        <v>0</v>
      </c>
      <c r="Z106" s="13">
        <f t="shared" si="24"/>
        <v>405</v>
      </c>
      <c r="AA106" s="13">
        <f t="shared" si="25"/>
        <v>0</v>
      </c>
    </row>
    <row r="107" spans="3:27" ht="15" customHeight="1" x14ac:dyDescent="0.2">
      <c r="C107" s="10" t="s">
        <v>186</v>
      </c>
      <c r="D107" s="10" t="s">
        <v>187</v>
      </c>
      <c r="E107" s="11">
        <v>40329</v>
      </c>
      <c r="F107" s="11">
        <v>40329</v>
      </c>
      <c r="G107" s="12">
        <v>3</v>
      </c>
      <c r="H107" s="23">
        <v>36</v>
      </c>
      <c r="I107" s="13">
        <v>636.24</v>
      </c>
      <c r="J107" s="13">
        <v>0</v>
      </c>
      <c r="K107" s="13">
        <f t="shared" si="23"/>
        <v>636.24</v>
      </c>
      <c r="L107" s="13">
        <v>636.24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3">
        <f t="shared" si="20"/>
        <v>0</v>
      </c>
      <c r="Z107" s="13">
        <f t="shared" si="24"/>
        <v>636.24</v>
      </c>
      <c r="AA107" s="13">
        <f t="shared" si="25"/>
        <v>0</v>
      </c>
    </row>
    <row r="108" spans="3:27" ht="15" customHeight="1" x14ac:dyDescent="0.2">
      <c r="C108" s="10" t="s">
        <v>188</v>
      </c>
      <c r="D108" s="10" t="s">
        <v>189</v>
      </c>
      <c r="E108" s="11">
        <v>40330</v>
      </c>
      <c r="F108" s="11">
        <v>40330</v>
      </c>
      <c r="G108" s="12">
        <v>3</v>
      </c>
      <c r="H108" s="23">
        <v>36</v>
      </c>
      <c r="I108" s="13">
        <v>639</v>
      </c>
      <c r="J108" s="13">
        <v>0</v>
      </c>
      <c r="K108" s="13">
        <f t="shared" si="23"/>
        <v>639</v>
      </c>
      <c r="L108" s="13">
        <v>639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3">
        <f t="shared" si="20"/>
        <v>0</v>
      </c>
      <c r="Z108" s="13">
        <f t="shared" si="24"/>
        <v>639</v>
      </c>
      <c r="AA108" s="13">
        <f t="shared" si="25"/>
        <v>0</v>
      </c>
    </row>
    <row r="109" spans="3:27" ht="15" customHeight="1" x14ac:dyDescent="0.2">
      <c r="C109" s="10" t="s">
        <v>190</v>
      </c>
      <c r="D109" s="10" t="s">
        <v>191</v>
      </c>
      <c r="E109" s="11">
        <v>40330</v>
      </c>
      <c r="F109" s="11">
        <v>40330</v>
      </c>
      <c r="G109" s="12">
        <v>3</v>
      </c>
      <c r="H109" s="23">
        <v>36</v>
      </c>
      <c r="I109" s="13">
        <v>639</v>
      </c>
      <c r="J109" s="13">
        <v>0</v>
      </c>
      <c r="K109" s="13">
        <f t="shared" si="23"/>
        <v>639</v>
      </c>
      <c r="L109" s="13">
        <v>639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3">
        <f t="shared" si="20"/>
        <v>0</v>
      </c>
      <c r="Z109" s="13">
        <f t="shared" si="24"/>
        <v>639</v>
      </c>
      <c r="AA109" s="13">
        <f t="shared" si="25"/>
        <v>0</v>
      </c>
    </row>
    <row r="110" spans="3:27" ht="15" customHeight="1" x14ac:dyDescent="0.2">
      <c r="C110" s="10" t="s">
        <v>192</v>
      </c>
      <c r="D110" s="10" t="s">
        <v>193</v>
      </c>
      <c r="E110" s="11">
        <v>40352</v>
      </c>
      <c r="F110" s="11">
        <v>40360</v>
      </c>
      <c r="G110" s="12">
        <v>3</v>
      </c>
      <c r="H110" s="23">
        <v>36</v>
      </c>
      <c r="I110" s="13">
        <v>867</v>
      </c>
      <c r="J110" s="13">
        <v>0</v>
      </c>
      <c r="K110" s="13">
        <f t="shared" si="23"/>
        <v>867</v>
      </c>
      <c r="L110" s="13">
        <v>867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3">
        <f t="shared" si="20"/>
        <v>0</v>
      </c>
      <c r="Z110" s="13">
        <f t="shared" si="24"/>
        <v>867</v>
      </c>
      <c r="AA110" s="13">
        <f t="shared" si="25"/>
        <v>0</v>
      </c>
    </row>
    <row r="111" spans="3:27" ht="15" customHeight="1" x14ac:dyDescent="0.2">
      <c r="C111" s="10" t="s">
        <v>194</v>
      </c>
      <c r="D111" s="10" t="s">
        <v>195</v>
      </c>
      <c r="E111" s="11">
        <v>40427</v>
      </c>
      <c r="F111" s="11">
        <v>40452</v>
      </c>
      <c r="G111" s="12">
        <v>3</v>
      </c>
      <c r="H111" s="23">
        <v>36</v>
      </c>
      <c r="I111" s="13">
        <v>565.83000000000004</v>
      </c>
      <c r="J111" s="13">
        <v>0</v>
      </c>
      <c r="K111" s="13">
        <f t="shared" si="23"/>
        <v>565.83000000000004</v>
      </c>
      <c r="L111" s="13">
        <v>565.83000000000004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3">
        <f t="shared" si="20"/>
        <v>0</v>
      </c>
      <c r="Z111" s="13">
        <f t="shared" si="24"/>
        <v>565.83000000000004</v>
      </c>
      <c r="AA111" s="13">
        <f t="shared" si="25"/>
        <v>0</v>
      </c>
    </row>
    <row r="112" spans="3:27" ht="15" customHeight="1" x14ac:dyDescent="0.2">
      <c r="C112" s="10" t="s">
        <v>196</v>
      </c>
      <c r="D112" s="10" t="s">
        <v>197</v>
      </c>
      <c r="E112" s="11">
        <v>40525</v>
      </c>
      <c r="F112" s="11">
        <v>40544</v>
      </c>
      <c r="G112" s="12">
        <v>3</v>
      </c>
      <c r="H112" s="23">
        <v>36</v>
      </c>
      <c r="I112" s="13">
        <v>780</v>
      </c>
      <c r="J112" s="13">
        <v>0</v>
      </c>
      <c r="K112" s="13">
        <f t="shared" si="23"/>
        <v>780</v>
      </c>
      <c r="L112" s="13">
        <v>780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3">
        <f t="shared" si="20"/>
        <v>0</v>
      </c>
      <c r="Z112" s="13">
        <f t="shared" si="24"/>
        <v>780</v>
      </c>
      <c r="AA112" s="13">
        <f t="shared" si="25"/>
        <v>0</v>
      </c>
    </row>
    <row r="113" spans="3:27" ht="15" customHeight="1" x14ac:dyDescent="0.2">
      <c r="C113" s="10" t="s">
        <v>198</v>
      </c>
      <c r="D113" s="10" t="s">
        <v>199</v>
      </c>
      <c r="E113" s="11">
        <v>40730</v>
      </c>
      <c r="F113" s="11">
        <v>40730</v>
      </c>
      <c r="G113" s="12">
        <v>3</v>
      </c>
      <c r="H113" s="23">
        <v>36</v>
      </c>
      <c r="I113" s="13">
        <v>758.93</v>
      </c>
      <c r="J113" s="13">
        <v>0</v>
      </c>
      <c r="K113" s="13">
        <f t="shared" si="23"/>
        <v>758.93</v>
      </c>
      <c r="L113" s="13">
        <v>758.93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3">
        <f t="shared" si="20"/>
        <v>0</v>
      </c>
      <c r="Z113" s="13">
        <f t="shared" si="24"/>
        <v>758.93</v>
      </c>
      <c r="AA113" s="13">
        <f t="shared" si="25"/>
        <v>0</v>
      </c>
    </row>
    <row r="114" spans="3:27" ht="15" customHeight="1" x14ac:dyDescent="0.2">
      <c r="C114" s="10" t="s">
        <v>200</v>
      </c>
      <c r="D114" s="10" t="s">
        <v>201</v>
      </c>
      <c r="E114" s="11">
        <v>40730</v>
      </c>
      <c r="F114" s="11">
        <v>40730</v>
      </c>
      <c r="G114" s="12">
        <v>3</v>
      </c>
      <c r="H114" s="23">
        <v>36</v>
      </c>
      <c r="I114" s="13">
        <v>696.43</v>
      </c>
      <c r="J114" s="13">
        <v>0</v>
      </c>
      <c r="K114" s="13">
        <f t="shared" si="23"/>
        <v>696.43</v>
      </c>
      <c r="L114" s="13">
        <v>696.43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3">
        <f t="shared" si="20"/>
        <v>0</v>
      </c>
      <c r="Z114" s="13">
        <f t="shared" si="24"/>
        <v>696.43</v>
      </c>
      <c r="AA114" s="13">
        <f t="shared" si="25"/>
        <v>0</v>
      </c>
    </row>
    <row r="115" spans="3:27" ht="15" customHeight="1" x14ac:dyDescent="0.2">
      <c r="C115" s="10" t="s">
        <v>202</v>
      </c>
      <c r="D115" s="10" t="s">
        <v>203</v>
      </c>
      <c r="E115" s="11">
        <v>40882</v>
      </c>
      <c r="F115" s="11">
        <v>40882</v>
      </c>
      <c r="G115" s="12">
        <v>3</v>
      </c>
      <c r="H115" s="23">
        <v>36</v>
      </c>
      <c r="I115" s="13">
        <v>1116.07</v>
      </c>
      <c r="J115" s="13">
        <v>0</v>
      </c>
      <c r="K115" s="13">
        <f t="shared" si="23"/>
        <v>1116.07</v>
      </c>
      <c r="L115" s="13">
        <v>1116.07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3">
        <f t="shared" si="20"/>
        <v>0</v>
      </c>
      <c r="Z115" s="13">
        <f t="shared" si="24"/>
        <v>1116.07</v>
      </c>
      <c r="AA115" s="13">
        <f t="shared" si="25"/>
        <v>0</v>
      </c>
    </row>
    <row r="116" spans="3:27" ht="15" customHeight="1" x14ac:dyDescent="0.2">
      <c r="C116" s="10" t="s">
        <v>204</v>
      </c>
      <c r="D116" s="10" t="s">
        <v>205</v>
      </c>
      <c r="E116" s="11">
        <v>40905</v>
      </c>
      <c r="F116" s="11">
        <v>40909</v>
      </c>
      <c r="G116" s="12">
        <v>3</v>
      </c>
      <c r="H116" s="23">
        <v>36</v>
      </c>
      <c r="I116" s="13">
        <v>712.5</v>
      </c>
      <c r="J116" s="13">
        <v>0</v>
      </c>
      <c r="K116" s="13">
        <f t="shared" si="23"/>
        <v>712.5</v>
      </c>
      <c r="L116" s="13">
        <v>712.5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3">
        <f t="shared" si="20"/>
        <v>0</v>
      </c>
      <c r="Z116" s="13">
        <f t="shared" si="24"/>
        <v>712.5</v>
      </c>
      <c r="AA116" s="13">
        <f t="shared" si="25"/>
        <v>0</v>
      </c>
    </row>
    <row r="117" spans="3:27" ht="15" customHeight="1" x14ac:dyDescent="0.2">
      <c r="C117" s="10" t="s">
        <v>206</v>
      </c>
      <c r="D117" s="10" t="s">
        <v>207</v>
      </c>
      <c r="E117" s="11">
        <v>40947</v>
      </c>
      <c r="F117" s="11">
        <v>40947</v>
      </c>
      <c r="G117" s="12">
        <v>3</v>
      </c>
      <c r="H117" s="23">
        <v>36</v>
      </c>
      <c r="I117" s="13">
        <v>88.39</v>
      </c>
      <c r="J117" s="13">
        <v>0</v>
      </c>
      <c r="K117" s="13">
        <f t="shared" si="23"/>
        <v>88.39</v>
      </c>
      <c r="L117" s="13">
        <v>88.39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3">
        <f t="shared" si="20"/>
        <v>0</v>
      </c>
      <c r="Z117" s="13">
        <f t="shared" si="24"/>
        <v>88.39</v>
      </c>
      <c r="AA117" s="13">
        <f t="shared" si="25"/>
        <v>0</v>
      </c>
    </row>
    <row r="118" spans="3:27" ht="15" customHeight="1" x14ac:dyDescent="0.2">
      <c r="C118" s="10" t="s">
        <v>208</v>
      </c>
      <c r="D118" s="10" t="s">
        <v>209</v>
      </c>
      <c r="E118" s="11">
        <v>41009</v>
      </c>
      <c r="F118" s="11">
        <v>41030</v>
      </c>
      <c r="G118" s="12">
        <v>3</v>
      </c>
      <c r="H118" s="23">
        <v>36</v>
      </c>
      <c r="I118" s="13">
        <v>113.39</v>
      </c>
      <c r="J118" s="13">
        <v>0</v>
      </c>
      <c r="K118" s="13">
        <f t="shared" si="23"/>
        <v>113.39</v>
      </c>
      <c r="L118" s="13">
        <v>113.39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3">
        <f t="shared" si="20"/>
        <v>0</v>
      </c>
      <c r="Z118" s="13">
        <f t="shared" si="24"/>
        <v>113.39</v>
      </c>
      <c r="AA118" s="13">
        <f t="shared" si="25"/>
        <v>0</v>
      </c>
    </row>
    <row r="119" spans="3:27" ht="15" customHeight="1" x14ac:dyDescent="0.2">
      <c r="C119" s="10" t="s">
        <v>210</v>
      </c>
      <c r="D119" s="10" t="s">
        <v>209</v>
      </c>
      <c r="E119" s="11">
        <v>41018</v>
      </c>
      <c r="F119" s="11">
        <v>41030</v>
      </c>
      <c r="G119" s="12">
        <v>3</v>
      </c>
      <c r="H119" s="23">
        <v>36</v>
      </c>
      <c r="I119" s="13">
        <v>310.02</v>
      </c>
      <c r="J119" s="13">
        <v>0</v>
      </c>
      <c r="K119" s="13">
        <f t="shared" si="23"/>
        <v>310.02</v>
      </c>
      <c r="L119" s="13">
        <v>310.02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3">
        <f t="shared" si="20"/>
        <v>0</v>
      </c>
      <c r="Z119" s="13">
        <f t="shared" si="24"/>
        <v>310.02</v>
      </c>
      <c r="AA119" s="13">
        <f t="shared" si="25"/>
        <v>0</v>
      </c>
    </row>
    <row r="120" spans="3:27" ht="15" customHeight="1" x14ac:dyDescent="0.2">
      <c r="C120" s="10" t="s">
        <v>211</v>
      </c>
      <c r="D120" s="10" t="s">
        <v>172</v>
      </c>
      <c r="E120" s="11">
        <v>41022</v>
      </c>
      <c r="F120" s="11">
        <v>41030</v>
      </c>
      <c r="G120" s="12">
        <v>3</v>
      </c>
      <c r="H120" s="23">
        <v>36</v>
      </c>
      <c r="I120" s="13">
        <v>890</v>
      </c>
      <c r="J120" s="13">
        <v>0</v>
      </c>
      <c r="K120" s="13">
        <f t="shared" si="23"/>
        <v>890</v>
      </c>
      <c r="L120" s="13">
        <v>890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3">
        <f t="shared" si="20"/>
        <v>0</v>
      </c>
      <c r="Z120" s="13">
        <f t="shared" si="24"/>
        <v>890</v>
      </c>
      <c r="AA120" s="13">
        <f t="shared" si="25"/>
        <v>0</v>
      </c>
    </row>
    <row r="121" spans="3:27" ht="15" customHeight="1" x14ac:dyDescent="0.2">
      <c r="C121" s="10" t="s">
        <v>212</v>
      </c>
      <c r="D121" s="10" t="s">
        <v>213</v>
      </c>
      <c r="E121" s="11">
        <v>41032</v>
      </c>
      <c r="F121" s="11">
        <v>41032</v>
      </c>
      <c r="G121" s="12">
        <v>3</v>
      </c>
      <c r="H121" s="23">
        <v>36</v>
      </c>
      <c r="I121" s="13">
        <v>610</v>
      </c>
      <c r="J121" s="13">
        <v>0</v>
      </c>
      <c r="K121" s="13">
        <f t="shared" si="23"/>
        <v>610</v>
      </c>
      <c r="L121" s="13">
        <v>610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3">
        <f t="shared" si="20"/>
        <v>0</v>
      </c>
      <c r="Z121" s="13">
        <f t="shared" si="24"/>
        <v>610</v>
      </c>
      <c r="AA121" s="13">
        <f t="shared" si="25"/>
        <v>0</v>
      </c>
    </row>
    <row r="122" spans="3:27" ht="15" customHeight="1" x14ac:dyDescent="0.2">
      <c r="C122" s="10" t="s">
        <v>214</v>
      </c>
      <c r="D122" s="10" t="s">
        <v>209</v>
      </c>
      <c r="E122" s="11">
        <v>41100</v>
      </c>
      <c r="F122" s="11">
        <v>41122</v>
      </c>
      <c r="G122" s="12">
        <v>3</v>
      </c>
      <c r="H122" s="23">
        <v>36</v>
      </c>
      <c r="I122" s="13">
        <v>125</v>
      </c>
      <c r="J122" s="13">
        <v>0</v>
      </c>
      <c r="K122" s="13">
        <f t="shared" si="23"/>
        <v>125</v>
      </c>
      <c r="L122" s="13">
        <v>125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3">
        <f t="shared" si="20"/>
        <v>0</v>
      </c>
      <c r="Z122" s="13">
        <f t="shared" si="24"/>
        <v>125</v>
      </c>
      <c r="AA122" s="13">
        <f t="shared" si="25"/>
        <v>0</v>
      </c>
    </row>
    <row r="123" spans="3:27" ht="15" customHeight="1" x14ac:dyDescent="0.2">
      <c r="C123" s="10" t="s">
        <v>215</v>
      </c>
      <c r="D123" s="10" t="s">
        <v>216</v>
      </c>
      <c r="E123" s="11">
        <v>41121</v>
      </c>
      <c r="F123" s="11">
        <v>41122</v>
      </c>
      <c r="G123" s="12">
        <v>3</v>
      </c>
      <c r="H123" s="23">
        <v>36</v>
      </c>
      <c r="I123" s="13">
        <v>570</v>
      </c>
      <c r="J123" s="13">
        <v>0</v>
      </c>
      <c r="K123" s="13">
        <f t="shared" si="23"/>
        <v>570</v>
      </c>
      <c r="L123" s="13">
        <v>570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3">
        <f t="shared" si="20"/>
        <v>0</v>
      </c>
      <c r="Z123" s="13">
        <f t="shared" si="24"/>
        <v>570</v>
      </c>
      <c r="AA123" s="13">
        <f t="shared" si="25"/>
        <v>0</v>
      </c>
    </row>
    <row r="124" spans="3:27" ht="15" customHeight="1" x14ac:dyDescent="0.2">
      <c r="C124" s="10" t="s">
        <v>217</v>
      </c>
      <c r="D124" s="10" t="s">
        <v>218</v>
      </c>
      <c r="E124" s="11">
        <v>41141</v>
      </c>
      <c r="F124" s="11">
        <v>41153</v>
      </c>
      <c r="G124" s="12">
        <v>3</v>
      </c>
      <c r="H124" s="23">
        <v>36</v>
      </c>
      <c r="I124" s="13">
        <v>835</v>
      </c>
      <c r="J124" s="13">
        <v>0</v>
      </c>
      <c r="K124" s="13">
        <f t="shared" si="23"/>
        <v>835</v>
      </c>
      <c r="L124" s="13">
        <v>835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3">
        <f t="shared" si="20"/>
        <v>0</v>
      </c>
      <c r="Z124" s="13">
        <f t="shared" si="24"/>
        <v>835</v>
      </c>
      <c r="AA124" s="13">
        <f t="shared" si="25"/>
        <v>0</v>
      </c>
    </row>
    <row r="125" spans="3:27" ht="15" customHeight="1" x14ac:dyDescent="0.2">
      <c r="C125" s="10" t="s">
        <v>219</v>
      </c>
      <c r="D125" s="10" t="s">
        <v>220</v>
      </c>
      <c r="E125" s="11">
        <v>41141</v>
      </c>
      <c r="F125" s="11">
        <v>41153</v>
      </c>
      <c r="G125" s="12">
        <v>3</v>
      </c>
      <c r="H125" s="23">
        <v>36</v>
      </c>
      <c r="I125" s="13">
        <v>595</v>
      </c>
      <c r="J125" s="13">
        <v>0</v>
      </c>
      <c r="K125" s="13">
        <f t="shared" si="23"/>
        <v>595</v>
      </c>
      <c r="L125" s="13">
        <v>595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3">
        <f t="shared" si="20"/>
        <v>0</v>
      </c>
      <c r="Z125" s="13">
        <f t="shared" si="24"/>
        <v>595</v>
      </c>
      <c r="AA125" s="13">
        <f t="shared" si="25"/>
        <v>0</v>
      </c>
    </row>
    <row r="126" spans="3:27" ht="15" customHeight="1" x14ac:dyDescent="0.2">
      <c r="C126" s="10" t="s">
        <v>221</v>
      </c>
      <c r="D126" s="10" t="s">
        <v>222</v>
      </c>
      <c r="E126" s="11">
        <v>41178</v>
      </c>
      <c r="F126" s="11">
        <v>41183</v>
      </c>
      <c r="G126" s="12">
        <v>3</v>
      </c>
      <c r="H126" s="23">
        <v>36</v>
      </c>
      <c r="I126" s="13">
        <v>976</v>
      </c>
      <c r="J126" s="13">
        <v>0</v>
      </c>
      <c r="K126" s="13">
        <f t="shared" si="23"/>
        <v>976</v>
      </c>
      <c r="L126" s="13">
        <v>976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3">
        <f t="shared" si="20"/>
        <v>0</v>
      </c>
      <c r="Z126" s="13">
        <f t="shared" si="24"/>
        <v>976</v>
      </c>
      <c r="AA126" s="13">
        <f t="shared" si="25"/>
        <v>0</v>
      </c>
    </row>
    <row r="127" spans="3:27" ht="15" customHeight="1" x14ac:dyDescent="0.2">
      <c r="C127" s="10" t="s">
        <v>223</v>
      </c>
      <c r="D127" s="10" t="s">
        <v>224</v>
      </c>
      <c r="E127" s="11">
        <v>41236</v>
      </c>
      <c r="F127" s="11">
        <v>41244</v>
      </c>
      <c r="G127" s="12">
        <v>3</v>
      </c>
      <c r="H127" s="23">
        <v>36</v>
      </c>
      <c r="I127" s="13">
        <v>365</v>
      </c>
      <c r="J127" s="13">
        <v>0</v>
      </c>
      <c r="K127" s="13">
        <f t="shared" si="23"/>
        <v>365</v>
      </c>
      <c r="L127" s="13">
        <v>365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3">
        <f t="shared" si="20"/>
        <v>0</v>
      </c>
      <c r="Z127" s="13">
        <f t="shared" si="24"/>
        <v>365</v>
      </c>
      <c r="AA127" s="13">
        <f t="shared" si="25"/>
        <v>0</v>
      </c>
    </row>
    <row r="128" spans="3:27" ht="15" customHeight="1" x14ac:dyDescent="0.2">
      <c r="C128" s="10" t="s">
        <v>225</v>
      </c>
      <c r="D128" s="10" t="s">
        <v>226</v>
      </c>
      <c r="E128" s="11">
        <v>41249</v>
      </c>
      <c r="F128" s="11">
        <v>41249</v>
      </c>
      <c r="G128" s="12">
        <v>3</v>
      </c>
      <c r="H128" s="23">
        <v>36</v>
      </c>
      <c r="I128" s="13">
        <v>1037.8499999999999</v>
      </c>
      <c r="J128" s="13">
        <v>0</v>
      </c>
      <c r="K128" s="13">
        <f t="shared" si="23"/>
        <v>1037.8499999999999</v>
      </c>
      <c r="L128" s="13">
        <v>1037.8499999999999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3">
        <f t="shared" si="20"/>
        <v>0</v>
      </c>
      <c r="Z128" s="13">
        <f t="shared" si="24"/>
        <v>1037.8499999999999</v>
      </c>
      <c r="AA128" s="13">
        <f t="shared" si="25"/>
        <v>0</v>
      </c>
    </row>
    <row r="129" spans="3:27" ht="15" customHeight="1" x14ac:dyDescent="0.2">
      <c r="C129" s="10" t="s">
        <v>227</v>
      </c>
      <c r="D129" s="10" t="s">
        <v>228</v>
      </c>
      <c r="E129" s="11">
        <v>41251</v>
      </c>
      <c r="F129" s="11">
        <v>40947</v>
      </c>
      <c r="G129" s="12">
        <v>3</v>
      </c>
      <c r="H129" s="23">
        <v>36</v>
      </c>
      <c r="I129" s="13">
        <v>440.18</v>
      </c>
      <c r="J129" s="13">
        <v>0</v>
      </c>
      <c r="K129" s="13">
        <f t="shared" si="23"/>
        <v>440.18</v>
      </c>
      <c r="L129" s="13">
        <v>440.18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3">
        <f t="shared" si="20"/>
        <v>0</v>
      </c>
      <c r="Z129" s="13">
        <f t="shared" si="24"/>
        <v>440.18</v>
      </c>
      <c r="AA129" s="13">
        <f t="shared" si="25"/>
        <v>0</v>
      </c>
    </row>
    <row r="130" spans="3:27" ht="15" customHeight="1" x14ac:dyDescent="0.2">
      <c r="C130" s="10" t="s">
        <v>229</v>
      </c>
      <c r="D130" s="10" t="s">
        <v>230</v>
      </c>
      <c r="E130" s="11">
        <v>41352</v>
      </c>
      <c r="F130" s="11">
        <v>41365</v>
      </c>
      <c r="G130" s="12">
        <v>3</v>
      </c>
      <c r="H130" s="23">
        <v>36</v>
      </c>
      <c r="I130" s="13">
        <v>662</v>
      </c>
      <c r="J130" s="13">
        <v>0</v>
      </c>
      <c r="K130" s="13">
        <f t="shared" si="23"/>
        <v>662</v>
      </c>
      <c r="L130" s="13">
        <v>662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3">
        <f t="shared" si="20"/>
        <v>0</v>
      </c>
      <c r="Z130" s="13">
        <f t="shared" si="24"/>
        <v>662</v>
      </c>
      <c r="AA130" s="13">
        <f t="shared" si="25"/>
        <v>0</v>
      </c>
    </row>
    <row r="131" spans="3:27" ht="15" customHeight="1" x14ac:dyDescent="0.2">
      <c r="C131" s="10" t="s">
        <v>231</v>
      </c>
      <c r="D131" s="10" t="s">
        <v>232</v>
      </c>
      <c r="E131" s="11">
        <v>41366</v>
      </c>
      <c r="F131" s="11">
        <v>41366</v>
      </c>
      <c r="G131" s="12">
        <v>3</v>
      </c>
      <c r="H131" s="23">
        <v>36</v>
      </c>
      <c r="I131" s="13">
        <v>380</v>
      </c>
      <c r="J131" s="13">
        <v>0</v>
      </c>
      <c r="K131" s="13">
        <f t="shared" si="23"/>
        <v>380</v>
      </c>
      <c r="L131" s="13">
        <v>380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3">
        <f t="shared" si="20"/>
        <v>0</v>
      </c>
      <c r="Z131" s="13">
        <f t="shared" si="24"/>
        <v>380</v>
      </c>
      <c r="AA131" s="13">
        <f t="shared" si="25"/>
        <v>0</v>
      </c>
    </row>
    <row r="132" spans="3:27" ht="15" customHeight="1" x14ac:dyDescent="0.2">
      <c r="C132" s="10" t="s">
        <v>233</v>
      </c>
      <c r="D132" s="10" t="s">
        <v>224</v>
      </c>
      <c r="E132" s="11">
        <v>41388</v>
      </c>
      <c r="F132" s="11">
        <v>41395</v>
      </c>
      <c r="G132" s="12">
        <v>3</v>
      </c>
      <c r="H132" s="23">
        <v>36</v>
      </c>
      <c r="I132" s="13">
        <v>130</v>
      </c>
      <c r="J132" s="13">
        <v>0</v>
      </c>
      <c r="K132" s="13">
        <f t="shared" si="23"/>
        <v>130</v>
      </c>
      <c r="L132" s="13">
        <v>130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3">
        <f t="shared" si="20"/>
        <v>0</v>
      </c>
      <c r="Z132" s="13">
        <f t="shared" si="24"/>
        <v>130</v>
      </c>
      <c r="AA132" s="13">
        <f t="shared" si="25"/>
        <v>0</v>
      </c>
    </row>
    <row r="133" spans="3:27" ht="15" customHeight="1" x14ac:dyDescent="0.2">
      <c r="C133" s="10" t="s">
        <v>234</v>
      </c>
      <c r="D133" s="10" t="s">
        <v>235</v>
      </c>
      <c r="E133" s="11">
        <v>41473</v>
      </c>
      <c r="F133" s="11">
        <v>41503</v>
      </c>
      <c r="G133" s="12">
        <v>3</v>
      </c>
      <c r="H133" s="23">
        <v>36</v>
      </c>
      <c r="I133" s="13">
        <v>595</v>
      </c>
      <c r="J133" s="13">
        <v>0</v>
      </c>
      <c r="K133" s="13">
        <f t="shared" si="23"/>
        <v>595</v>
      </c>
      <c r="L133" s="13">
        <v>595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3">
        <f t="shared" si="20"/>
        <v>0</v>
      </c>
      <c r="Z133" s="13">
        <f t="shared" si="24"/>
        <v>595</v>
      </c>
      <c r="AA133" s="13">
        <f t="shared" si="25"/>
        <v>0</v>
      </c>
    </row>
    <row r="134" spans="3:27" ht="15" customHeight="1" x14ac:dyDescent="0.2">
      <c r="C134" s="10" t="s">
        <v>236</v>
      </c>
      <c r="D134" s="10" t="s">
        <v>209</v>
      </c>
      <c r="E134" s="11">
        <v>41541</v>
      </c>
      <c r="F134" s="11">
        <v>41548</v>
      </c>
      <c r="G134" s="12">
        <v>3</v>
      </c>
      <c r="H134" s="23">
        <v>36</v>
      </c>
      <c r="I134" s="13">
        <v>169.64</v>
      </c>
      <c r="J134" s="13">
        <v>0</v>
      </c>
      <c r="K134" s="13">
        <f t="shared" si="23"/>
        <v>169.64</v>
      </c>
      <c r="L134" s="13">
        <v>169.64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3">
        <f t="shared" si="20"/>
        <v>0</v>
      </c>
      <c r="Z134" s="13">
        <f t="shared" si="24"/>
        <v>169.64</v>
      </c>
      <c r="AA134" s="13">
        <f t="shared" si="25"/>
        <v>0</v>
      </c>
    </row>
    <row r="135" spans="3:27" ht="15" customHeight="1" x14ac:dyDescent="0.2">
      <c r="C135" s="10" t="s">
        <v>237</v>
      </c>
      <c r="D135" s="10" t="s">
        <v>209</v>
      </c>
      <c r="E135" s="11">
        <v>41551</v>
      </c>
      <c r="F135" s="11">
        <v>41551</v>
      </c>
      <c r="G135" s="12">
        <v>3</v>
      </c>
      <c r="H135" s="23">
        <v>36</v>
      </c>
      <c r="I135" s="13">
        <v>89.28</v>
      </c>
      <c r="J135" s="13">
        <v>0</v>
      </c>
      <c r="K135" s="13">
        <f t="shared" si="23"/>
        <v>89.28</v>
      </c>
      <c r="L135" s="13">
        <v>89.28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3">
        <f t="shared" si="20"/>
        <v>0</v>
      </c>
      <c r="Z135" s="13">
        <f t="shared" si="24"/>
        <v>89.28</v>
      </c>
      <c r="AA135" s="13">
        <f t="shared" si="25"/>
        <v>0</v>
      </c>
    </row>
    <row r="136" spans="3:27" ht="15" customHeight="1" x14ac:dyDescent="0.2">
      <c r="C136" s="10" t="s">
        <v>238</v>
      </c>
      <c r="D136" s="10" t="s">
        <v>239</v>
      </c>
      <c r="E136" s="11">
        <v>41656</v>
      </c>
      <c r="F136" s="11">
        <v>41671</v>
      </c>
      <c r="G136" s="12">
        <v>3</v>
      </c>
      <c r="H136" s="23">
        <v>36</v>
      </c>
      <c r="I136" s="13">
        <v>5603.39</v>
      </c>
      <c r="J136" s="13">
        <v>0</v>
      </c>
      <c r="K136" s="13">
        <f t="shared" si="23"/>
        <v>5603.39</v>
      </c>
      <c r="L136" s="13">
        <v>5603.39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3">
        <f t="shared" si="20"/>
        <v>0</v>
      </c>
      <c r="Z136" s="13">
        <f t="shared" si="24"/>
        <v>5603.39</v>
      </c>
      <c r="AA136" s="13">
        <f t="shared" si="25"/>
        <v>0</v>
      </c>
    </row>
    <row r="137" spans="3:27" ht="15" customHeight="1" x14ac:dyDescent="0.2">
      <c r="C137" s="10" t="s">
        <v>240</v>
      </c>
      <c r="D137" s="10" t="s">
        <v>241</v>
      </c>
      <c r="E137" s="11">
        <v>41787</v>
      </c>
      <c r="F137" s="11">
        <v>41791</v>
      </c>
      <c r="G137" s="12">
        <v>3</v>
      </c>
      <c r="H137" s="23">
        <v>36</v>
      </c>
      <c r="I137" s="13">
        <v>1540</v>
      </c>
      <c r="J137" s="13">
        <v>0</v>
      </c>
      <c r="K137" s="13">
        <f t="shared" si="23"/>
        <v>1540</v>
      </c>
      <c r="L137" s="13">
        <v>1540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3">
        <f t="shared" si="20"/>
        <v>0</v>
      </c>
      <c r="Z137" s="13">
        <f t="shared" si="24"/>
        <v>1540</v>
      </c>
      <c r="AA137" s="13">
        <f t="shared" si="25"/>
        <v>0</v>
      </c>
    </row>
    <row r="138" spans="3:27" ht="15" customHeight="1" x14ac:dyDescent="0.2">
      <c r="C138" s="10" t="s">
        <v>242</v>
      </c>
      <c r="D138" s="10" t="s">
        <v>243</v>
      </c>
      <c r="E138" s="11">
        <v>41789</v>
      </c>
      <c r="F138" s="11">
        <v>41791</v>
      </c>
      <c r="G138" s="12">
        <v>3</v>
      </c>
      <c r="H138" s="23">
        <v>36</v>
      </c>
      <c r="I138" s="13">
        <v>360</v>
      </c>
      <c r="J138" s="13">
        <v>0</v>
      </c>
      <c r="K138" s="13">
        <f t="shared" si="23"/>
        <v>360</v>
      </c>
      <c r="L138" s="13">
        <v>360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3">
        <f t="shared" si="20"/>
        <v>0</v>
      </c>
      <c r="Z138" s="13">
        <f t="shared" si="24"/>
        <v>360</v>
      </c>
      <c r="AA138" s="13">
        <f t="shared" si="25"/>
        <v>0</v>
      </c>
    </row>
    <row r="139" spans="3:27" ht="15" customHeight="1" x14ac:dyDescent="0.2">
      <c r="C139" s="10" t="s">
        <v>244</v>
      </c>
      <c r="D139" s="10" t="s">
        <v>245</v>
      </c>
      <c r="E139" s="11">
        <v>41880</v>
      </c>
      <c r="F139" s="11">
        <v>41883</v>
      </c>
      <c r="G139" s="12">
        <v>3</v>
      </c>
      <c r="H139" s="23">
        <v>36</v>
      </c>
      <c r="I139" s="13">
        <v>385.12</v>
      </c>
      <c r="J139" s="13">
        <v>0</v>
      </c>
      <c r="K139" s="13">
        <f t="shared" si="23"/>
        <v>385.12</v>
      </c>
      <c r="L139" s="13">
        <v>385.12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3">
        <f t="shared" si="20"/>
        <v>0</v>
      </c>
      <c r="Z139" s="13">
        <f t="shared" si="24"/>
        <v>385.12</v>
      </c>
      <c r="AA139" s="13">
        <f t="shared" si="25"/>
        <v>0</v>
      </c>
    </row>
    <row r="140" spans="3:27" ht="15" customHeight="1" x14ac:dyDescent="0.2">
      <c r="C140" s="10" t="s">
        <v>246</v>
      </c>
      <c r="D140" s="10" t="s">
        <v>247</v>
      </c>
      <c r="E140" s="11">
        <v>41941</v>
      </c>
      <c r="F140" s="11">
        <v>41944</v>
      </c>
      <c r="G140" s="12">
        <v>3</v>
      </c>
      <c r="H140" s="23">
        <v>36</v>
      </c>
      <c r="I140" s="13">
        <v>558.92999999999995</v>
      </c>
      <c r="J140" s="13">
        <v>0</v>
      </c>
      <c r="K140" s="13">
        <f t="shared" si="23"/>
        <v>558.92999999999995</v>
      </c>
      <c r="L140" s="13">
        <v>558.92999999999995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3">
        <f t="shared" si="20"/>
        <v>0</v>
      </c>
      <c r="Z140" s="13">
        <f t="shared" si="24"/>
        <v>558.92999999999995</v>
      </c>
      <c r="AA140" s="13">
        <f t="shared" si="25"/>
        <v>0</v>
      </c>
    </row>
    <row r="141" spans="3:27" ht="15" customHeight="1" x14ac:dyDescent="0.2">
      <c r="C141" s="10" t="s">
        <v>248</v>
      </c>
      <c r="D141" s="10" t="s">
        <v>249</v>
      </c>
      <c r="E141" s="11">
        <v>42017</v>
      </c>
      <c r="F141" s="11">
        <v>42017</v>
      </c>
      <c r="G141" s="12">
        <v>3</v>
      </c>
      <c r="H141" s="23">
        <v>36</v>
      </c>
      <c r="I141" s="13">
        <v>600</v>
      </c>
      <c r="J141" s="13">
        <v>0</v>
      </c>
      <c r="K141" s="13">
        <f t="shared" si="23"/>
        <v>600</v>
      </c>
      <c r="L141" s="13">
        <v>600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3">
        <f t="shared" si="20"/>
        <v>0</v>
      </c>
      <c r="Z141" s="13">
        <f t="shared" si="24"/>
        <v>600</v>
      </c>
      <c r="AA141" s="13">
        <f t="shared" si="25"/>
        <v>0</v>
      </c>
    </row>
    <row r="142" spans="3:27" ht="15" customHeight="1" x14ac:dyDescent="0.2">
      <c r="C142" s="10" t="s">
        <v>250</v>
      </c>
      <c r="D142" s="10" t="s">
        <v>224</v>
      </c>
      <c r="E142" s="11">
        <v>42017</v>
      </c>
      <c r="F142" s="11">
        <v>42017</v>
      </c>
      <c r="G142" s="12">
        <v>3</v>
      </c>
      <c r="H142" s="23">
        <v>36</v>
      </c>
      <c r="I142" s="13">
        <v>280</v>
      </c>
      <c r="J142" s="13">
        <v>0</v>
      </c>
      <c r="K142" s="13">
        <f t="shared" si="23"/>
        <v>280</v>
      </c>
      <c r="L142" s="13">
        <v>280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3">
        <f t="shared" si="20"/>
        <v>0</v>
      </c>
      <c r="Z142" s="13">
        <f t="shared" si="24"/>
        <v>280</v>
      </c>
      <c r="AA142" s="13">
        <f t="shared" si="25"/>
        <v>0</v>
      </c>
    </row>
    <row r="143" spans="3:27" ht="15" customHeight="1" x14ac:dyDescent="0.2">
      <c r="C143" s="10" t="s">
        <v>251</v>
      </c>
      <c r="D143" s="10" t="s">
        <v>252</v>
      </c>
      <c r="E143" s="11">
        <v>42076</v>
      </c>
      <c r="F143" s="11">
        <v>42076</v>
      </c>
      <c r="G143" s="12">
        <v>3</v>
      </c>
      <c r="H143" s="23">
        <v>36</v>
      </c>
      <c r="I143" s="13">
        <v>717.6</v>
      </c>
      <c r="J143" s="13">
        <v>0</v>
      </c>
      <c r="K143" s="13">
        <f t="shared" si="23"/>
        <v>717.6</v>
      </c>
      <c r="L143" s="13">
        <v>717.6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3">
        <f t="shared" si="20"/>
        <v>0</v>
      </c>
      <c r="Z143" s="13">
        <f t="shared" si="24"/>
        <v>717.6</v>
      </c>
      <c r="AA143" s="13">
        <f t="shared" si="25"/>
        <v>0</v>
      </c>
    </row>
    <row r="144" spans="3:27" ht="15" customHeight="1" x14ac:dyDescent="0.2">
      <c r="C144" s="10" t="s">
        <v>253</v>
      </c>
      <c r="D144" s="10" t="s">
        <v>209</v>
      </c>
      <c r="E144" s="11">
        <v>42076</v>
      </c>
      <c r="F144" s="11">
        <v>42076</v>
      </c>
      <c r="G144" s="12">
        <v>3</v>
      </c>
      <c r="H144" s="23">
        <v>36</v>
      </c>
      <c r="I144" s="13">
        <v>275.89</v>
      </c>
      <c r="J144" s="13">
        <v>0</v>
      </c>
      <c r="K144" s="13">
        <f t="shared" si="23"/>
        <v>275.89</v>
      </c>
      <c r="L144" s="13">
        <v>275.89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3">
        <f t="shared" si="20"/>
        <v>0</v>
      </c>
      <c r="Z144" s="13">
        <f t="shared" si="24"/>
        <v>275.89</v>
      </c>
      <c r="AA144" s="13">
        <f t="shared" si="25"/>
        <v>0</v>
      </c>
    </row>
    <row r="145" spans="3:27" ht="15" customHeight="1" x14ac:dyDescent="0.2">
      <c r="C145" s="10" t="s">
        <v>254</v>
      </c>
      <c r="D145" s="10" t="s">
        <v>245</v>
      </c>
      <c r="E145" s="11">
        <v>42181</v>
      </c>
      <c r="F145" s="11">
        <v>42186</v>
      </c>
      <c r="G145" s="12">
        <v>3</v>
      </c>
      <c r="H145" s="23">
        <v>36</v>
      </c>
      <c r="I145" s="13">
        <v>531.25</v>
      </c>
      <c r="J145" s="13">
        <v>0</v>
      </c>
      <c r="K145" s="13">
        <f t="shared" si="23"/>
        <v>531.25</v>
      </c>
      <c r="L145" s="13">
        <v>531.25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3">
        <f t="shared" si="20"/>
        <v>0</v>
      </c>
      <c r="Z145" s="13">
        <f t="shared" si="24"/>
        <v>531.25</v>
      </c>
      <c r="AA145" s="13">
        <f t="shared" si="25"/>
        <v>0</v>
      </c>
    </row>
    <row r="146" spans="3:27" ht="15" customHeight="1" x14ac:dyDescent="0.2">
      <c r="C146" s="10" t="s">
        <v>255</v>
      </c>
      <c r="D146" s="10" t="s">
        <v>245</v>
      </c>
      <c r="E146" s="11">
        <v>42184</v>
      </c>
      <c r="F146" s="11">
        <v>42186</v>
      </c>
      <c r="G146" s="12">
        <v>3</v>
      </c>
      <c r="H146" s="23">
        <v>36</v>
      </c>
      <c r="I146" s="13">
        <v>531.25</v>
      </c>
      <c r="J146" s="13">
        <v>0</v>
      </c>
      <c r="K146" s="13">
        <f t="shared" si="23"/>
        <v>531.25</v>
      </c>
      <c r="L146" s="13">
        <v>531.25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3">
        <f t="shared" si="20"/>
        <v>0</v>
      </c>
      <c r="Z146" s="13">
        <f t="shared" si="24"/>
        <v>531.25</v>
      </c>
      <c r="AA146" s="13">
        <f t="shared" si="25"/>
        <v>0</v>
      </c>
    </row>
    <row r="147" spans="3:27" ht="15" customHeight="1" x14ac:dyDescent="0.2">
      <c r="C147" s="10" t="s">
        <v>256</v>
      </c>
      <c r="D147" s="10" t="s">
        <v>257</v>
      </c>
      <c r="E147" s="11">
        <v>42278</v>
      </c>
      <c r="F147" s="11">
        <v>42278</v>
      </c>
      <c r="G147" s="12">
        <v>3</v>
      </c>
      <c r="H147" s="23">
        <v>36</v>
      </c>
      <c r="I147" s="13">
        <v>7321.43</v>
      </c>
      <c r="J147" s="13">
        <v>0</v>
      </c>
      <c r="K147" s="13">
        <f t="shared" si="23"/>
        <v>7321.43</v>
      </c>
      <c r="L147" s="13">
        <v>7321.43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3">
        <f t="shared" si="20"/>
        <v>0</v>
      </c>
      <c r="Z147" s="13">
        <f t="shared" si="24"/>
        <v>7321.43</v>
      </c>
      <c r="AA147" s="13">
        <f t="shared" si="25"/>
        <v>0</v>
      </c>
    </row>
    <row r="148" spans="3:27" ht="15" customHeight="1" x14ac:dyDescent="0.2">
      <c r="C148" s="10" t="s">
        <v>258</v>
      </c>
      <c r="D148" s="10" t="s">
        <v>259</v>
      </c>
      <c r="E148" s="11">
        <v>42413</v>
      </c>
      <c r="F148" s="11">
        <v>42430</v>
      </c>
      <c r="G148" s="12">
        <v>3</v>
      </c>
      <c r="H148" s="23">
        <v>36</v>
      </c>
      <c r="I148" s="13">
        <v>415</v>
      </c>
      <c r="J148" s="13">
        <v>0</v>
      </c>
      <c r="K148" s="13">
        <f t="shared" si="23"/>
        <v>415</v>
      </c>
      <c r="L148" s="13">
        <v>415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3">
        <f t="shared" si="20"/>
        <v>0</v>
      </c>
      <c r="Z148" s="13">
        <f t="shared" si="24"/>
        <v>415</v>
      </c>
      <c r="AA148" s="13">
        <f t="shared" si="25"/>
        <v>0</v>
      </c>
    </row>
    <row r="149" spans="3:27" ht="15" customHeight="1" x14ac:dyDescent="0.2">
      <c r="C149" s="10" t="s">
        <v>260</v>
      </c>
      <c r="D149" s="10" t="s">
        <v>261</v>
      </c>
      <c r="E149" s="11">
        <v>42583</v>
      </c>
      <c r="F149" s="11">
        <v>42583</v>
      </c>
      <c r="G149" s="12">
        <v>3</v>
      </c>
      <c r="H149" s="23">
        <v>36</v>
      </c>
      <c r="I149" s="13">
        <v>885</v>
      </c>
      <c r="J149" s="13">
        <v>0</v>
      </c>
      <c r="K149" s="13">
        <f t="shared" si="23"/>
        <v>885</v>
      </c>
      <c r="L149" s="13">
        <v>885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3">
        <f t="shared" si="20"/>
        <v>0</v>
      </c>
      <c r="Z149" s="13">
        <f t="shared" si="24"/>
        <v>885</v>
      </c>
      <c r="AA149" s="13">
        <f t="shared" si="25"/>
        <v>0</v>
      </c>
    </row>
    <row r="150" spans="3:27" ht="15" customHeight="1" x14ac:dyDescent="0.2">
      <c r="C150" s="10" t="s">
        <v>262</v>
      </c>
      <c r="D150" s="10" t="s">
        <v>263</v>
      </c>
      <c r="E150" s="11">
        <v>42655</v>
      </c>
      <c r="F150" s="11">
        <v>42675</v>
      </c>
      <c r="G150" s="12">
        <v>3</v>
      </c>
      <c r="H150" s="23">
        <v>36</v>
      </c>
      <c r="I150" s="13">
        <v>640</v>
      </c>
      <c r="J150" s="13">
        <v>0</v>
      </c>
      <c r="K150" s="13">
        <f t="shared" si="23"/>
        <v>640</v>
      </c>
      <c r="L150" s="13">
        <v>640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3">
        <f t="shared" si="20"/>
        <v>0</v>
      </c>
      <c r="Z150" s="13">
        <f t="shared" si="24"/>
        <v>640</v>
      </c>
      <c r="AA150" s="13">
        <f t="shared" si="25"/>
        <v>0</v>
      </c>
    </row>
    <row r="151" spans="3:27" ht="15" customHeight="1" x14ac:dyDescent="0.2">
      <c r="C151" s="10" t="s">
        <v>264</v>
      </c>
      <c r="D151" s="10" t="s">
        <v>265</v>
      </c>
      <c r="E151" s="11">
        <v>42728</v>
      </c>
      <c r="F151" s="11">
        <v>42728</v>
      </c>
      <c r="G151" s="12">
        <v>3</v>
      </c>
      <c r="H151" s="23">
        <v>36</v>
      </c>
      <c r="I151" s="13">
        <v>438</v>
      </c>
      <c r="J151" s="13">
        <v>0</v>
      </c>
      <c r="K151" s="13">
        <f t="shared" si="23"/>
        <v>438</v>
      </c>
      <c r="L151" s="13">
        <v>438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3">
        <f t="shared" si="20"/>
        <v>0</v>
      </c>
      <c r="Z151" s="13">
        <f t="shared" si="24"/>
        <v>438</v>
      </c>
      <c r="AA151" s="13">
        <f t="shared" si="25"/>
        <v>0</v>
      </c>
    </row>
    <row r="152" spans="3:27" ht="15" customHeight="1" x14ac:dyDescent="0.2">
      <c r="C152" s="10" t="s">
        <v>266</v>
      </c>
      <c r="D152" s="10" t="s">
        <v>267</v>
      </c>
      <c r="E152" s="11">
        <v>42762</v>
      </c>
      <c r="F152" s="11">
        <v>42767</v>
      </c>
      <c r="G152" s="12">
        <v>3</v>
      </c>
      <c r="H152" s="23">
        <v>36</v>
      </c>
      <c r="I152" s="13">
        <v>2502</v>
      </c>
      <c r="J152" s="13">
        <v>0</v>
      </c>
      <c r="K152" s="13">
        <f t="shared" si="23"/>
        <v>2502</v>
      </c>
      <c r="L152" s="13">
        <v>2502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3">
        <f t="shared" si="20"/>
        <v>0</v>
      </c>
      <c r="Z152" s="13">
        <f t="shared" si="24"/>
        <v>2502</v>
      </c>
      <c r="AA152" s="13">
        <f t="shared" si="25"/>
        <v>0</v>
      </c>
    </row>
    <row r="153" spans="3:27" ht="15" customHeight="1" x14ac:dyDescent="0.2">
      <c r="C153" s="10" t="s">
        <v>268</v>
      </c>
      <c r="D153" s="10" t="s">
        <v>269</v>
      </c>
      <c r="E153" s="11">
        <v>42772</v>
      </c>
      <c r="F153" s="11">
        <v>42772</v>
      </c>
      <c r="G153" s="12">
        <v>3</v>
      </c>
      <c r="H153" s="23">
        <v>36</v>
      </c>
      <c r="I153" s="13">
        <v>250</v>
      </c>
      <c r="J153" s="13">
        <v>0</v>
      </c>
      <c r="K153" s="13">
        <f t="shared" si="23"/>
        <v>250</v>
      </c>
      <c r="L153" s="13">
        <v>250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3">
        <f t="shared" si="20"/>
        <v>0</v>
      </c>
      <c r="Z153" s="13">
        <f t="shared" si="24"/>
        <v>250</v>
      </c>
      <c r="AA153" s="13">
        <f t="shared" si="25"/>
        <v>0</v>
      </c>
    </row>
    <row r="154" spans="3:27" ht="15" customHeight="1" x14ac:dyDescent="0.2">
      <c r="C154" s="10" t="s">
        <v>270</v>
      </c>
      <c r="D154" s="10" t="s">
        <v>271</v>
      </c>
      <c r="E154" s="11">
        <v>42774</v>
      </c>
      <c r="F154" s="11">
        <v>42774</v>
      </c>
      <c r="G154" s="12">
        <v>3</v>
      </c>
      <c r="H154" s="23">
        <v>36</v>
      </c>
      <c r="I154" s="13">
        <v>250</v>
      </c>
      <c r="J154" s="13">
        <v>0</v>
      </c>
      <c r="K154" s="13">
        <f t="shared" si="23"/>
        <v>250</v>
      </c>
      <c r="L154" s="13">
        <v>250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3">
        <f t="shared" si="20"/>
        <v>0</v>
      </c>
      <c r="Z154" s="13">
        <f t="shared" si="24"/>
        <v>250</v>
      </c>
      <c r="AA154" s="13">
        <f t="shared" si="25"/>
        <v>0</v>
      </c>
    </row>
    <row r="155" spans="3:27" ht="15" customHeight="1" x14ac:dyDescent="0.2">
      <c r="C155" s="10" t="s">
        <v>272</v>
      </c>
      <c r="D155" s="10" t="s">
        <v>273</v>
      </c>
      <c r="E155" s="11">
        <v>42859</v>
      </c>
      <c r="F155" s="11">
        <v>42859</v>
      </c>
      <c r="G155" s="12">
        <v>3</v>
      </c>
      <c r="H155" s="23">
        <v>36</v>
      </c>
      <c r="I155" s="13">
        <v>250</v>
      </c>
      <c r="J155" s="13">
        <v>0</v>
      </c>
      <c r="K155" s="13">
        <f t="shared" si="23"/>
        <v>250</v>
      </c>
      <c r="L155" s="13">
        <v>250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3">
        <f t="shared" si="20"/>
        <v>0</v>
      </c>
      <c r="Z155" s="13">
        <f t="shared" si="24"/>
        <v>250</v>
      </c>
      <c r="AA155" s="13">
        <f t="shared" si="25"/>
        <v>0</v>
      </c>
    </row>
    <row r="156" spans="3:27" ht="15" customHeight="1" x14ac:dyDescent="0.2">
      <c r="C156" s="10" t="s">
        <v>274</v>
      </c>
      <c r="D156" s="10" t="s">
        <v>275</v>
      </c>
      <c r="E156" s="11">
        <v>44597</v>
      </c>
      <c r="F156" s="11">
        <v>44597</v>
      </c>
      <c r="G156" s="12">
        <v>3</v>
      </c>
      <c r="H156" s="23">
        <v>36</v>
      </c>
      <c r="I156" s="13">
        <v>1087.68</v>
      </c>
      <c r="J156" s="13">
        <v>0</v>
      </c>
      <c r="K156" s="13">
        <f t="shared" si="23"/>
        <v>1087.68</v>
      </c>
      <c r="L156" s="13">
        <v>1057.47</v>
      </c>
      <c r="M156" s="13">
        <f>+$K156/$H156</f>
        <v>30.213333333333335</v>
      </c>
      <c r="N156" s="13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3">
        <f t="shared" si="20"/>
        <v>30.213333333333335</v>
      </c>
      <c r="Z156" s="13">
        <f t="shared" si="24"/>
        <v>1087.6833333333334</v>
      </c>
      <c r="AA156" s="13">
        <f t="shared" si="25"/>
        <v>-3.3333333333303017E-3</v>
      </c>
    </row>
    <row r="157" spans="3:27" ht="15" customHeight="1" x14ac:dyDescent="0.2">
      <c r="C157" s="10" t="s">
        <v>276</v>
      </c>
      <c r="D157" s="10" t="s">
        <v>275</v>
      </c>
      <c r="E157" s="11">
        <v>44597</v>
      </c>
      <c r="F157" s="11">
        <v>44597</v>
      </c>
      <c r="G157" s="12">
        <v>3</v>
      </c>
      <c r="H157" s="23">
        <v>36</v>
      </c>
      <c r="I157" s="13">
        <v>1190.3499999999999</v>
      </c>
      <c r="J157" s="13">
        <v>0</v>
      </c>
      <c r="K157" s="13">
        <f t="shared" si="23"/>
        <v>1190.3499999999999</v>
      </c>
      <c r="L157" s="13">
        <v>1157.28</v>
      </c>
      <c r="M157" s="13">
        <f>+$K157/$H157</f>
        <v>33.065277777777773</v>
      </c>
      <c r="N157" s="13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3">
        <f t="shared" si="20"/>
        <v>33.065277777777773</v>
      </c>
      <c r="Z157" s="13">
        <f t="shared" si="24"/>
        <v>1190.3452777777777</v>
      </c>
      <c r="AA157" s="13">
        <f t="shared" si="25"/>
        <v>4.7222222221989796E-3</v>
      </c>
    </row>
    <row r="158" spans="3:27" ht="15" customHeight="1" x14ac:dyDescent="0.2">
      <c r="C158" s="10" t="s">
        <v>277</v>
      </c>
      <c r="D158" s="10" t="s">
        <v>92</v>
      </c>
      <c r="E158" s="11">
        <v>45682</v>
      </c>
      <c r="F158" s="11">
        <v>45689</v>
      </c>
      <c r="G158" s="12">
        <v>3</v>
      </c>
      <c r="H158" s="23">
        <v>36</v>
      </c>
      <c r="I158" s="13">
        <v>849.99</v>
      </c>
      <c r="J158" s="13">
        <f>+I158*10%</f>
        <v>84.999000000000009</v>
      </c>
      <c r="K158" s="13">
        <f t="shared" si="23"/>
        <v>764.99099999999999</v>
      </c>
      <c r="L158" s="13">
        <v>0</v>
      </c>
      <c r="M158" s="13">
        <v>0</v>
      </c>
      <c r="N158" s="13">
        <f>+$K158/$H158</f>
        <v>21.249749999999999</v>
      </c>
      <c r="O158" s="13">
        <f t="shared" ref="O158:X159" si="26">+$K158/$H158</f>
        <v>21.249749999999999</v>
      </c>
      <c r="P158" s="13">
        <f t="shared" si="26"/>
        <v>21.249749999999999</v>
      </c>
      <c r="Q158" s="13">
        <f t="shared" si="26"/>
        <v>21.249749999999999</v>
      </c>
      <c r="R158" s="13">
        <f t="shared" si="26"/>
        <v>21.249749999999999</v>
      </c>
      <c r="S158" s="13">
        <f t="shared" si="26"/>
        <v>21.249749999999999</v>
      </c>
      <c r="T158" s="13">
        <f t="shared" si="26"/>
        <v>21.249749999999999</v>
      </c>
      <c r="U158" s="13">
        <f t="shared" si="26"/>
        <v>21.249749999999999</v>
      </c>
      <c r="V158" s="13">
        <f t="shared" si="26"/>
        <v>21.249749999999999</v>
      </c>
      <c r="W158" s="13">
        <f t="shared" si="26"/>
        <v>21.249749999999999</v>
      </c>
      <c r="X158" s="13">
        <f t="shared" si="26"/>
        <v>21.249749999999999</v>
      </c>
      <c r="Y158" s="13">
        <f t="shared" si="20"/>
        <v>233.74725000000004</v>
      </c>
      <c r="Z158" s="13">
        <f t="shared" si="24"/>
        <v>233.74725000000004</v>
      </c>
      <c r="AA158" s="13">
        <f t="shared" si="25"/>
        <v>616.24275</v>
      </c>
    </row>
    <row r="159" spans="3:27" ht="15" customHeight="1" x14ac:dyDescent="0.2">
      <c r="C159" s="10" t="s">
        <v>278</v>
      </c>
      <c r="D159" s="10" t="s">
        <v>279</v>
      </c>
      <c r="E159" s="11">
        <v>45674</v>
      </c>
      <c r="F159" s="11">
        <v>45689</v>
      </c>
      <c r="G159" s="12">
        <v>3</v>
      </c>
      <c r="H159" s="23">
        <v>36</v>
      </c>
      <c r="I159" s="13">
        <v>4199</v>
      </c>
      <c r="J159" s="13">
        <f>+I159*10%</f>
        <v>419.90000000000003</v>
      </c>
      <c r="K159" s="13">
        <f t="shared" si="23"/>
        <v>3779.1</v>
      </c>
      <c r="L159" s="13">
        <v>0</v>
      </c>
      <c r="M159" s="13">
        <v>0</v>
      </c>
      <c r="N159" s="13">
        <f>+$K159/$H159</f>
        <v>104.97499999999999</v>
      </c>
      <c r="O159" s="13">
        <f t="shared" si="26"/>
        <v>104.97499999999999</v>
      </c>
      <c r="P159" s="13">
        <f t="shared" si="26"/>
        <v>104.97499999999999</v>
      </c>
      <c r="Q159" s="13">
        <f t="shared" si="26"/>
        <v>104.97499999999999</v>
      </c>
      <c r="R159" s="13">
        <f t="shared" si="26"/>
        <v>104.97499999999999</v>
      </c>
      <c r="S159" s="13">
        <f t="shared" si="26"/>
        <v>104.97499999999999</v>
      </c>
      <c r="T159" s="13">
        <f t="shared" si="26"/>
        <v>104.97499999999999</v>
      </c>
      <c r="U159" s="13">
        <f t="shared" si="26"/>
        <v>104.97499999999999</v>
      </c>
      <c r="V159" s="13">
        <f t="shared" si="26"/>
        <v>104.97499999999999</v>
      </c>
      <c r="W159" s="13">
        <f t="shared" si="26"/>
        <v>104.97499999999999</v>
      </c>
      <c r="X159" s="13">
        <f t="shared" si="26"/>
        <v>104.97499999999999</v>
      </c>
      <c r="Y159" s="13">
        <f t="shared" si="20"/>
        <v>1154.7249999999999</v>
      </c>
      <c r="Z159" s="13">
        <f t="shared" si="24"/>
        <v>1154.7249999999999</v>
      </c>
      <c r="AA159" s="13">
        <f t="shared" si="25"/>
        <v>3044.2750000000001</v>
      </c>
    </row>
    <row r="160" spans="3:27" ht="15" customHeight="1" x14ac:dyDescent="0.2">
      <c r="C160" s="10" t="s">
        <v>282</v>
      </c>
      <c r="D160" s="9" t="s">
        <v>281</v>
      </c>
      <c r="E160" s="22">
        <v>45895</v>
      </c>
      <c r="F160" s="22">
        <v>45901</v>
      </c>
      <c r="G160" s="12">
        <v>3</v>
      </c>
      <c r="H160" s="23">
        <v>36</v>
      </c>
      <c r="I160" s="19">
        <v>740</v>
      </c>
      <c r="J160" s="19">
        <f>+I160*10%</f>
        <v>74</v>
      </c>
      <c r="K160" s="19">
        <f t="shared" si="23"/>
        <v>666</v>
      </c>
      <c r="L160" s="13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f t="shared" ref="U160:X161" si="27">+$K160/$H160</f>
        <v>18.5</v>
      </c>
      <c r="V160" s="19">
        <f t="shared" si="27"/>
        <v>18.5</v>
      </c>
      <c r="W160" s="19">
        <f t="shared" si="27"/>
        <v>18.5</v>
      </c>
      <c r="X160" s="19">
        <f t="shared" si="27"/>
        <v>18.5</v>
      </c>
      <c r="Y160" s="13">
        <f t="shared" si="20"/>
        <v>74</v>
      </c>
      <c r="Z160" s="13">
        <f t="shared" si="24"/>
        <v>74</v>
      </c>
      <c r="AA160" s="13">
        <f t="shared" si="25"/>
        <v>666</v>
      </c>
    </row>
    <row r="161" spans="3:27" ht="15" customHeight="1" x14ac:dyDescent="0.2">
      <c r="C161" s="10" t="s">
        <v>284</v>
      </c>
      <c r="D161" s="9" t="s">
        <v>283</v>
      </c>
      <c r="E161" s="22">
        <v>45979</v>
      </c>
      <c r="F161" s="22">
        <v>45992</v>
      </c>
      <c r="G161" s="12">
        <v>3</v>
      </c>
      <c r="H161" s="23">
        <v>36</v>
      </c>
      <c r="I161" s="19">
        <v>1865</v>
      </c>
      <c r="J161" s="19">
        <f>+I161*10%</f>
        <v>186.5</v>
      </c>
      <c r="K161" s="19">
        <f t="shared" ref="K161:K162" si="28">+I161-J161</f>
        <v>1678.5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9">
        <f t="shared" si="27"/>
        <v>46.625</v>
      </c>
      <c r="Y161" s="13">
        <f t="shared" ref="Y161:Y162" si="29">SUM(M161:X161)</f>
        <v>46.625</v>
      </c>
      <c r="Z161" s="13">
        <f t="shared" si="24"/>
        <v>46.625</v>
      </c>
      <c r="AA161" s="13">
        <f t="shared" si="25"/>
        <v>1818.375</v>
      </c>
    </row>
    <row r="162" spans="3:27" ht="15" customHeight="1" x14ac:dyDescent="0.2">
      <c r="C162" s="10" t="s">
        <v>286</v>
      </c>
      <c r="D162" s="9" t="s">
        <v>285</v>
      </c>
      <c r="E162" s="22">
        <v>46009</v>
      </c>
      <c r="F162" s="22">
        <v>46023</v>
      </c>
      <c r="G162" s="12">
        <v>3</v>
      </c>
      <c r="H162" s="23">
        <v>36</v>
      </c>
      <c r="I162" s="19">
        <v>3997</v>
      </c>
      <c r="J162" s="19">
        <f>+I162*10%</f>
        <v>399.70000000000005</v>
      </c>
      <c r="K162" s="19">
        <f t="shared" si="28"/>
        <v>3597.3</v>
      </c>
      <c r="L162" s="19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f t="shared" si="29"/>
        <v>0</v>
      </c>
      <c r="Z162" s="13">
        <f t="shared" ref="Z162" si="30">+L162+Y162</f>
        <v>0</v>
      </c>
      <c r="AA162" s="13">
        <f t="shared" si="25"/>
        <v>3997</v>
      </c>
    </row>
    <row r="163" spans="3:27" x14ac:dyDescent="0.2">
      <c r="C163" s="39" t="s">
        <v>37</v>
      </c>
      <c r="D163" s="39"/>
      <c r="E163" s="39"/>
      <c r="F163" s="39"/>
      <c r="G163" s="39"/>
      <c r="H163" s="39"/>
      <c r="I163" s="24">
        <f>SUM(I97:I162)</f>
        <v>62233.849999999991</v>
      </c>
      <c r="J163" s="24">
        <f>SUM(J97:J162)</f>
        <v>1165.0990000000002</v>
      </c>
      <c r="K163" s="24">
        <f>SUM(K97:K162)</f>
        <v>61068.750999999997</v>
      </c>
      <c r="L163" s="24">
        <f t="shared" ref="L163:AA163" si="31">SUM(L97:L162)</f>
        <v>50519.579999999994</v>
      </c>
      <c r="M163" s="38">
        <f t="shared" si="31"/>
        <v>63.278611111111104</v>
      </c>
      <c r="N163" s="38">
        <f t="shared" si="31"/>
        <v>126.22475</v>
      </c>
      <c r="O163" s="38">
        <f t="shared" si="31"/>
        <v>126.22475</v>
      </c>
      <c r="P163" s="38">
        <f t="shared" si="31"/>
        <v>126.22475</v>
      </c>
      <c r="Q163" s="38">
        <f t="shared" si="31"/>
        <v>126.22475</v>
      </c>
      <c r="R163" s="38">
        <f t="shared" si="31"/>
        <v>126.22475</v>
      </c>
      <c r="S163" s="38">
        <f t="shared" si="31"/>
        <v>126.22475</v>
      </c>
      <c r="T163" s="38">
        <f t="shared" si="31"/>
        <v>126.22475</v>
      </c>
      <c r="U163" s="38">
        <f t="shared" si="31"/>
        <v>144.72475</v>
      </c>
      <c r="V163" s="24">
        <f t="shared" si="31"/>
        <v>144.72475</v>
      </c>
      <c r="W163" s="24">
        <f t="shared" si="31"/>
        <v>144.72475</v>
      </c>
      <c r="X163" s="24">
        <f t="shared" si="31"/>
        <v>191.34975</v>
      </c>
      <c r="Y163" s="24">
        <f t="shared" si="31"/>
        <v>1572.3758611111111</v>
      </c>
      <c r="Z163" s="24">
        <f t="shared" si="31"/>
        <v>52091.955861111106</v>
      </c>
      <c r="AA163" s="24">
        <f t="shared" si="31"/>
        <v>10141.894138888889</v>
      </c>
    </row>
    <row r="166" spans="3:27" x14ac:dyDescent="0.2">
      <c r="C166" s="14" t="s">
        <v>287</v>
      </c>
      <c r="D166" s="10"/>
      <c r="E166" s="10"/>
      <c r="F166" s="10"/>
      <c r="G166" s="10"/>
      <c r="H166" s="10"/>
      <c r="I166" s="15"/>
      <c r="J166" s="15"/>
      <c r="K166" s="15"/>
      <c r="L166" s="15"/>
    </row>
    <row r="167" spans="3:27" ht="15" customHeight="1" x14ac:dyDescent="0.2">
      <c r="C167" s="10" t="s">
        <v>288</v>
      </c>
      <c r="D167" s="10" t="s">
        <v>289</v>
      </c>
      <c r="E167" s="11">
        <v>39114</v>
      </c>
      <c r="F167" s="11">
        <v>39114</v>
      </c>
      <c r="G167" s="12">
        <v>20</v>
      </c>
      <c r="H167" s="12">
        <v>240</v>
      </c>
      <c r="I167" s="13">
        <v>112053.5</v>
      </c>
      <c r="J167" s="13">
        <v>11205.35</v>
      </c>
      <c r="K167" s="19">
        <f t="shared" ref="K167:K169" si="32">+I167-J167</f>
        <v>100848.15</v>
      </c>
      <c r="L167" s="13">
        <v>90343.13</v>
      </c>
      <c r="M167" s="13">
        <f>+$K167/$H167</f>
        <v>420.200625</v>
      </c>
      <c r="N167" s="13">
        <f t="shared" ref="N167:X167" si="33">+$K167/$H167</f>
        <v>420.200625</v>
      </c>
      <c r="O167" s="13">
        <f t="shared" si="33"/>
        <v>420.200625</v>
      </c>
      <c r="P167" s="13">
        <f t="shared" si="33"/>
        <v>420.200625</v>
      </c>
      <c r="Q167" s="13">
        <f t="shared" si="33"/>
        <v>420.200625</v>
      </c>
      <c r="R167" s="13">
        <f t="shared" si="33"/>
        <v>420.200625</v>
      </c>
      <c r="S167" s="13">
        <f t="shared" si="33"/>
        <v>420.200625</v>
      </c>
      <c r="T167" s="13">
        <f t="shared" si="33"/>
        <v>420.200625</v>
      </c>
      <c r="U167" s="13">
        <f t="shared" si="33"/>
        <v>420.200625</v>
      </c>
      <c r="V167" s="13">
        <f t="shared" si="33"/>
        <v>420.200625</v>
      </c>
      <c r="W167" s="13">
        <f t="shared" si="33"/>
        <v>420.200625</v>
      </c>
      <c r="X167" s="13">
        <f t="shared" si="33"/>
        <v>420.200625</v>
      </c>
      <c r="Y167" s="13">
        <f t="shared" ref="Y167:Y169" si="34">SUM(M167:X167)</f>
        <v>5042.4075000000012</v>
      </c>
      <c r="Z167" s="13">
        <f t="shared" ref="Z167:Z169" si="35">+L167+Y167</f>
        <v>95385.537500000006</v>
      </c>
      <c r="AA167" s="13">
        <f t="shared" ref="AA167:AA169" si="36">+I167-Z167</f>
        <v>16667.962499999994</v>
      </c>
    </row>
    <row r="168" spans="3:27" ht="15" customHeight="1" x14ac:dyDescent="0.2">
      <c r="C168" s="10" t="s">
        <v>290</v>
      </c>
      <c r="D168" s="10" t="s">
        <v>291</v>
      </c>
      <c r="E168" s="11">
        <v>39114</v>
      </c>
      <c r="F168" s="11">
        <v>39114</v>
      </c>
      <c r="G168" s="12">
        <v>20</v>
      </c>
      <c r="H168" s="12">
        <v>240</v>
      </c>
      <c r="I168" s="13">
        <v>125160</v>
      </c>
      <c r="J168" s="13">
        <v>12516</v>
      </c>
      <c r="K168" s="19">
        <f t="shared" si="32"/>
        <v>112644</v>
      </c>
      <c r="L168" s="13">
        <v>100910.25</v>
      </c>
      <c r="M168" s="13">
        <f t="shared" ref="M168:X169" si="37">+$K168/$H168</f>
        <v>469.35</v>
      </c>
      <c r="N168" s="13">
        <f t="shared" si="37"/>
        <v>469.35</v>
      </c>
      <c r="O168" s="13">
        <f t="shared" si="37"/>
        <v>469.35</v>
      </c>
      <c r="P168" s="13">
        <f t="shared" si="37"/>
        <v>469.35</v>
      </c>
      <c r="Q168" s="13">
        <f t="shared" si="37"/>
        <v>469.35</v>
      </c>
      <c r="R168" s="13">
        <f t="shared" si="37"/>
        <v>469.35</v>
      </c>
      <c r="S168" s="13">
        <f t="shared" si="37"/>
        <v>469.35</v>
      </c>
      <c r="T168" s="13">
        <f t="shared" si="37"/>
        <v>469.35</v>
      </c>
      <c r="U168" s="13">
        <f t="shared" si="37"/>
        <v>469.35</v>
      </c>
      <c r="V168" s="13">
        <f t="shared" si="37"/>
        <v>469.35</v>
      </c>
      <c r="W168" s="13">
        <f t="shared" si="37"/>
        <v>469.35</v>
      </c>
      <c r="X168" s="13">
        <f t="shared" si="37"/>
        <v>469.35</v>
      </c>
      <c r="Y168" s="13">
        <f t="shared" si="34"/>
        <v>5632.2000000000007</v>
      </c>
      <c r="Z168" s="13">
        <f t="shared" si="35"/>
        <v>106542.45</v>
      </c>
      <c r="AA168" s="13">
        <f t="shared" si="36"/>
        <v>18617.550000000003</v>
      </c>
    </row>
    <row r="169" spans="3:27" ht="15" customHeight="1" x14ac:dyDescent="0.2">
      <c r="C169" s="10" t="s">
        <v>292</v>
      </c>
      <c r="D169" s="10" t="s">
        <v>293</v>
      </c>
      <c r="E169" s="11">
        <v>40848</v>
      </c>
      <c r="F169" s="11">
        <v>40848</v>
      </c>
      <c r="G169" s="12">
        <v>20</v>
      </c>
      <c r="H169" s="12">
        <v>240</v>
      </c>
      <c r="I169" s="13">
        <v>12034</v>
      </c>
      <c r="J169" s="13">
        <v>1203.4000000000001</v>
      </c>
      <c r="K169" s="19">
        <f t="shared" si="32"/>
        <v>10830.6</v>
      </c>
      <c r="L169" s="13">
        <v>7130.15</v>
      </c>
      <c r="M169" s="13">
        <f t="shared" si="37"/>
        <v>45.127500000000005</v>
      </c>
      <c r="N169" s="13">
        <f t="shared" si="37"/>
        <v>45.127500000000005</v>
      </c>
      <c r="O169" s="13">
        <f t="shared" si="37"/>
        <v>45.127500000000005</v>
      </c>
      <c r="P169" s="13">
        <f t="shared" si="37"/>
        <v>45.127500000000005</v>
      </c>
      <c r="Q169" s="13">
        <f t="shared" si="37"/>
        <v>45.127500000000005</v>
      </c>
      <c r="R169" s="13">
        <f t="shared" si="37"/>
        <v>45.127500000000005</v>
      </c>
      <c r="S169" s="13">
        <f t="shared" si="37"/>
        <v>45.127500000000005</v>
      </c>
      <c r="T169" s="13">
        <f t="shared" si="37"/>
        <v>45.127500000000005</v>
      </c>
      <c r="U169" s="13">
        <f t="shared" si="37"/>
        <v>45.127500000000005</v>
      </c>
      <c r="V169" s="13">
        <f t="shared" si="37"/>
        <v>45.127500000000005</v>
      </c>
      <c r="W169" s="13">
        <f t="shared" si="37"/>
        <v>45.127500000000005</v>
      </c>
      <c r="X169" s="13">
        <f t="shared" si="37"/>
        <v>45.127500000000005</v>
      </c>
      <c r="Y169" s="13">
        <f t="shared" si="34"/>
        <v>541.53000000000009</v>
      </c>
      <c r="Z169" s="13">
        <f t="shared" si="35"/>
        <v>7671.6799999999994</v>
      </c>
      <c r="AA169" s="13">
        <f t="shared" si="36"/>
        <v>4362.3200000000006</v>
      </c>
    </row>
    <row r="170" spans="3:27" ht="15" customHeight="1" x14ac:dyDescent="0.2">
      <c r="C170" s="39" t="s">
        <v>37</v>
      </c>
      <c r="D170" s="39"/>
      <c r="E170" s="39"/>
      <c r="F170" s="39"/>
      <c r="G170" s="39"/>
      <c r="H170" s="39"/>
      <c r="I170" s="16">
        <f>SUM(I167:I169)</f>
        <v>249247.5</v>
      </c>
      <c r="J170" s="17">
        <f>SUM(J167:J169)</f>
        <v>24924.75</v>
      </c>
      <c r="K170" s="17">
        <f>SUM(K167:K169)</f>
        <v>224322.75</v>
      </c>
      <c r="L170" s="16">
        <f>SUM(L167:L169)</f>
        <v>198383.53</v>
      </c>
      <c r="M170" s="17">
        <f t="shared" ref="M170:AA170" si="38">SUM(M167:M169)</f>
        <v>934.67812500000014</v>
      </c>
      <c r="N170" s="17">
        <f t="shared" si="38"/>
        <v>934.67812500000014</v>
      </c>
      <c r="O170" s="17">
        <f t="shared" si="38"/>
        <v>934.67812500000014</v>
      </c>
      <c r="P170" s="17">
        <f t="shared" si="38"/>
        <v>934.67812500000014</v>
      </c>
      <c r="Q170" s="17">
        <f t="shared" si="38"/>
        <v>934.67812500000014</v>
      </c>
      <c r="R170" s="17">
        <f t="shared" si="38"/>
        <v>934.67812500000014</v>
      </c>
      <c r="S170" s="17">
        <f t="shared" si="38"/>
        <v>934.67812500000014</v>
      </c>
      <c r="T170" s="17">
        <f t="shared" si="38"/>
        <v>934.67812500000014</v>
      </c>
      <c r="U170" s="17">
        <f t="shared" si="38"/>
        <v>934.67812500000014</v>
      </c>
      <c r="V170" s="17">
        <f t="shared" si="38"/>
        <v>934.67812500000014</v>
      </c>
      <c r="W170" s="17">
        <f t="shared" si="38"/>
        <v>934.67812500000014</v>
      </c>
      <c r="X170" s="17">
        <f t="shared" si="38"/>
        <v>934.67812500000014</v>
      </c>
      <c r="Y170" s="17">
        <f t="shared" si="38"/>
        <v>11216.137500000003</v>
      </c>
      <c r="Z170" s="17">
        <f t="shared" si="38"/>
        <v>209599.66749999998</v>
      </c>
      <c r="AA170" s="17">
        <f t="shared" si="38"/>
        <v>39647.832499999997</v>
      </c>
    </row>
    <row r="172" spans="3:27" x14ac:dyDescent="0.2">
      <c r="C172" s="25" t="s">
        <v>294</v>
      </c>
      <c r="D172" s="10"/>
      <c r="E172" s="10"/>
      <c r="F172" s="10"/>
      <c r="G172" s="10"/>
      <c r="H172" s="10"/>
      <c r="I172" s="15"/>
      <c r="J172" s="15"/>
      <c r="K172" s="15"/>
      <c r="L172" s="15"/>
    </row>
    <row r="173" spans="3:27" ht="15" customHeight="1" x14ac:dyDescent="0.2">
      <c r="C173" s="10" t="s">
        <v>295</v>
      </c>
      <c r="D173" s="10" t="s">
        <v>296</v>
      </c>
      <c r="E173" s="11">
        <v>39994</v>
      </c>
      <c r="F173" s="11">
        <v>39995</v>
      </c>
      <c r="G173" s="12">
        <v>3</v>
      </c>
      <c r="H173" s="12">
        <v>36</v>
      </c>
      <c r="I173" s="13">
        <v>6889.77</v>
      </c>
      <c r="J173" s="13">
        <v>0</v>
      </c>
      <c r="K173" s="13">
        <f t="shared" ref="K173:K183" si="39">+I173-J173</f>
        <v>6889.77</v>
      </c>
      <c r="L173" s="13">
        <v>6889.77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f t="shared" ref="Y173" si="40">SUM(M173:X173)</f>
        <v>0</v>
      </c>
      <c r="Z173" s="13">
        <f t="shared" ref="Z173" si="41">+L173+Y173</f>
        <v>6889.77</v>
      </c>
      <c r="AA173" s="13">
        <f t="shared" ref="AA173" si="42">+I173-Z173</f>
        <v>0</v>
      </c>
    </row>
    <row r="174" spans="3:27" ht="15" customHeight="1" x14ac:dyDescent="0.2">
      <c r="C174" s="10" t="s">
        <v>297</v>
      </c>
      <c r="D174" s="10" t="s">
        <v>298</v>
      </c>
      <c r="E174" s="11">
        <v>40135</v>
      </c>
      <c r="F174" s="11">
        <v>40148</v>
      </c>
      <c r="G174" s="12">
        <v>3</v>
      </c>
      <c r="H174" s="12">
        <v>36</v>
      </c>
      <c r="I174" s="13">
        <v>560</v>
      </c>
      <c r="J174" s="13">
        <v>0</v>
      </c>
      <c r="K174" s="13">
        <f t="shared" si="39"/>
        <v>560</v>
      </c>
      <c r="L174" s="13">
        <v>560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f t="shared" ref="Y174:Y183" si="43">SUM(M174:X174)</f>
        <v>0</v>
      </c>
      <c r="Z174" s="13">
        <f t="shared" ref="Z174:Z183" si="44">+L174+Y174</f>
        <v>560</v>
      </c>
      <c r="AA174" s="13">
        <f t="shared" ref="AA174:AA183" si="45">+I174-Z174</f>
        <v>0</v>
      </c>
    </row>
    <row r="175" spans="3:27" ht="15" customHeight="1" x14ac:dyDescent="0.2">
      <c r="C175" s="10" t="s">
        <v>299</v>
      </c>
      <c r="D175" s="10" t="s">
        <v>300</v>
      </c>
      <c r="E175" s="11">
        <v>40430</v>
      </c>
      <c r="F175" s="11">
        <v>40422</v>
      </c>
      <c r="G175" s="12">
        <v>3</v>
      </c>
      <c r="H175" s="12">
        <v>36</v>
      </c>
      <c r="I175" s="13">
        <v>857.45</v>
      </c>
      <c r="J175" s="13">
        <v>0</v>
      </c>
      <c r="K175" s="13">
        <f t="shared" si="39"/>
        <v>857.45</v>
      </c>
      <c r="L175" s="13">
        <v>857.45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f t="shared" si="43"/>
        <v>0</v>
      </c>
      <c r="Z175" s="13">
        <f t="shared" si="44"/>
        <v>857.45</v>
      </c>
      <c r="AA175" s="13">
        <f t="shared" si="45"/>
        <v>0</v>
      </c>
    </row>
    <row r="176" spans="3:27" ht="15" customHeight="1" x14ac:dyDescent="0.2">
      <c r="C176" s="10" t="s">
        <v>301</v>
      </c>
      <c r="D176" s="10" t="s">
        <v>302</v>
      </c>
      <c r="E176" s="11">
        <v>41278</v>
      </c>
      <c r="F176" s="11">
        <v>41275</v>
      </c>
      <c r="G176" s="12">
        <v>10</v>
      </c>
      <c r="H176" s="12">
        <v>120</v>
      </c>
      <c r="I176" s="13">
        <v>5442.43</v>
      </c>
      <c r="J176" s="13">
        <v>0</v>
      </c>
      <c r="K176" s="13">
        <f t="shared" si="39"/>
        <v>5442.43</v>
      </c>
      <c r="L176" s="13">
        <v>5442.43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f t="shared" si="43"/>
        <v>0</v>
      </c>
      <c r="Z176" s="13">
        <f t="shared" si="44"/>
        <v>5442.43</v>
      </c>
      <c r="AA176" s="13">
        <f t="shared" si="45"/>
        <v>0</v>
      </c>
    </row>
    <row r="177" spans="3:27" ht="15" customHeight="1" x14ac:dyDescent="0.2">
      <c r="C177" s="10" t="s">
        <v>303</v>
      </c>
      <c r="D177" s="10" t="s">
        <v>304</v>
      </c>
      <c r="E177" s="11">
        <v>41639</v>
      </c>
      <c r="F177" s="11">
        <v>41640</v>
      </c>
      <c r="G177" s="12">
        <v>10</v>
      </c>
      <c r="H177" s="12">
        <v>120</v>
      </c>
      <c r="I177" s="13">
        <v>9836.9500000000007</v>
      </c>
      <c r="J177" s="13">
        <v>0</v>
      </c>
      <c r="K177" s="13">
        <f t="shared" si="39"/>
        <v>9836.9500000000007</v>
      </c>
      <c r="L177" s="13">
        <v>9836.9500000000007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f t="shared" si="43"/>
        <v>0</v>
      </c>
      <c r="Z177" s="13">
        <f t="shared" si="44"/>
        <v>9836.9500000000007</v>
      </c>
      <c r="AA177" s="13">
        <f t="shared" si="45"/>
        <v>0</v>
      </c>
    </row>
    <row r="178" spans="3:27" ht="15" customHeight="1" x14ac:dyDescent="0.2">
      <c r="C178" s="10" t="s">
        <v>305</v>
      </c>
      <c r="D178" s="10" t="s">
        <v>306</v>
      </c>
      <c r="E178" s="11">
        <v>42040</v>
      </c>
      <c r="F178" s="11">
        <v>42036</v>
      </c>
      <c r="G178" s="12">
        <v>10</v>
      </c>
      <c r="H178" s="12">
        <v>120</v>
      </c>
      <c r="I178" s="13">
        <v>770</v>
      </c>
      <c r="J178" s="13">
        <v>77</v>
      </c>
      <c r="K178" s="13">
        <f t="shared" si="39"/>
        <v>693</v>
      </c>
      <c r="L178" s="13">
        <v>687.23</v>
      </c>
      <c r="M178" s="13">
        <v>5.77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f t="shared" si="43"/>
        <v>5.77</v>
      </c>
      <c r="Z178" s="13">
        <f t="shared" si="44"/>
        <v>693</v>
      </c>
      <c r="AA178" s="13">
        <f t="shared" si="45"/>
        <v>77</v>
      </c>
    </row>
    <row r="179" spans="3:27" ht="15" customHeight="1" x14ac:dyDescent="0.2">
      <c r="C179" s="10" t="s">
        <v>307</v>
      </c>
      <c r="D179" s="10" t="s">
        <v>306</v>
      </c>
      <c r="E179" s="11">
        <v>42040</v>
      </c>
      <c r="F179" s="11">
        <v>42036</v>
      </c>
      <c r="G179" s="12">
        <v>10</v>
      </c>
      <c r="H179" s="12">
        <v>120</v>
      </c>
      <c r="I179" s="13">
        <v>645</v>
      </c>
      <c r="J179" s="13">
        <v>64.5</v>
      </c>
      <c r="K179" s="13">
        <f t="shared" si="39"/>
        <v>580.5</v>
      </c>
      <c r="L179" s="13">
        <v>575.66</v>
      </c>
      <c r="M179" s="13">
        <f t="shared" ref="M179:X182" si="46">+$K179/$H179</f>
        <v>4.8375000000000004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f t="shared" si="43"/>
        <v>4.8375000000000004</v>
      </c>
      <c r="Z179" s="13">
        <f t="shared" si="44"/>
        <v>580.49749999999995</v>
      </c>
      <c r="AA179" s="13">
        <f t="shared" si="45"/>
        <v>64.502500000000055</v>
      </c>
    </row>
    <row r="180" spans="3:27" ht="15" customHeight="1" x14ac:dyDescent="0.2">
      <c r="C180" s="10" t="s">
        <v>308</v>
      </c>
      <c r="D180" s="10" t="s">
        <v>306</v>
      </c>
      <c r="E180" s="11">
        <v>42243</v>
      </c>
      <c r="F180" s="11">
        <v>42248</v>
      </c>
      <c r="G180" s="12">
        <v>10</v>
      </c>
      <c r="H180" s="12">
        <v>120</v>
      </c>
      <c r="I180" s="13">
        <v>800</v>
      </c>
      <c r="J180" s="13">
        <v>80</v>
      </c>
      <c r="K180" s="13">
        <f t="shared" si="39"/>
        <v>720</v>
      </c>
      <c r="L180" s="13">
        <v>672</v>
      </c>
      <c r="M180" s="13">
        <f t="shared" si="46"/>
        <v>6</v>
      </c>
      <c r="N180" s="13">
        <f t="shared" si="46"/>
        <v>6</v>
      </c>
      <c r="O180" s="13">
        <f t="shared" si="46"/>
        <v>6</v>
      </c>
      <c r="P180" s="13">
        <f t="shared" si="46"/>
        <v>6</v>
      </c>
      <c r="Q180" s="13">
        <f t="shared" si="46"/>
        <v>6</v>
      </c>
      <c r="R180" s="13">
        <f t="shared" si="46"/>
        <v>6</v>
      </c>
      <c r="S180" s="13">
        <f t="shared" si="46"/>
        <v>6</v>
      </c>
      <c r="T180" s="13">
        <f t="shared" si="46"/>
        <v>6</v>
      </c>
      <c r="U180" s="13">
        <v>0</v>
      </c>
      <c r="V180" s="13">
        <v>0</v>
      </c>
      <c r="W180" s="13">
        <v>0</v>
      </c>
      <c r="X180" s="13">
        <v>0</v>
      </c>
      <c r="Y180" s="13">
        <f t="shared" si="43"/>
        <v>48</v>
      </c>
      <c r="Z180" s="13">
        <f t="shared" si="44"/>
        <v>720</v>
      </c>
      <c r="AA180" s="13">
        <f t="shared" si="45"/>
        <v>80</v>
      </c>
    </row>
    <row r="181" spans="3:27" ht="15" customHeight="1" x14ac:dyDescent="0.2">
      <c r="C181" s="10" t="s">
        <v>309</v>
      </c>
      <c r="D181" s="10" t="s">
        <v>310</v>
      </c>
      <c r="E181" s="11">
        <v>42291</v>
      </c>
      <c r="F181" s="11">
        <v>42278</v>
      </c>
      <c r="G181" s="12">
        <v>10</v>
      </c>
      <c r="H181" s="12">
        <v>120</v>
      </c>
      <c r="I181" s="13">
        <v>800</v>
      </c>
      <c r="J181" s="13">
        <v>80</v>
      </c>
      <c r="K181" s="13">
        <f t="shared" si="39"/>
        <v>720</v>
      </c>
      <c r="L181" s="13">
        <v>666</v>
      </c>
      <c r="M181" s="13">
        <f t="shared" si="46"/>
        <v>6</v>
      </c>
      <c r="N181" s="13">
        <f t="shared" si="46"/>
        <v>6</v>
      </c>
      <c r="O181" s="13">
        <f t="shared" si="46"/>
        <v>6</v>
      </c>
      <c r="P181" s="13">
        <f t="shared" si="46"/>
        <v>6</v>
      </c>
      <c r="Q181" s="13">
        <f t="shared" si="46"/>
        <v>6</v>
      </c>
      <c r="R181" s="13">
        <f t="shared" si="46"/>
        <v>6</v>
      </c>
      <c r="S181" s="13">
        <f t="shared" si="46"/>
        <v>6</v>
      </c>
      <c r="T181" s="13">
        <f t="shared" si="46"/>
        <v>6</v>
      </c>
      <c r="U181" s="13">
        <f t="shared" si="46"/>
        <v>6</v>
      </c>
      <c r="V181" s="13">
        <v>0</v>
      </c>
      <c r="W181" s="13">
        <v>0</v>
      </c>
      <c r="X181" s="13">
        <v>0</v>
      </c>
      <c r="Y181" s="13">
        <f t="shared" si="43"/>
        <v>54</v>
      </c>
      <c r="Z181" s="13">
        <f t="shared" si="44"/>
        <v>720</v>
      </c>
      <c r="AA181" s="13">
        <f t="shared" si="45"/>
        <v>80</v>
      </c>
    </row>
    <row r="182" spans="3:27" ht="15" customHeight="1" x14ac:dyDescent="0.2">
      <c r="C182" s="10" t="s">
        <v>311</v>
      </c>
      <c r="D182" s="10" t="s">
        <v>312</v>
      </c>
      <c r="E182" s="11">
        <v>42486</v>
      </c>
      <c r="F182" s="11">
        <v>42491</v>
      </c>
      <c r="G182" s="12">
        <v>10</v>
      </c>
      <c r="H182" s="12">
        <v>120</v>
      </c>
      <c r="I182" s="13">
        <v>359</v>
      </c>
      <c r="J182" s="13">
        <v>35.9</v>
      </c>
      <c r="K182" s="13">
        <f t="shared" si="39"/>
        <v>323.10000000000002</v>
      </c>
      <c r="L182" s="13">
        <v>266.56</v>
      </c>
      <c r="M182" s="13">
        <f t="shared" si="46"/>
        <v>2.6925000000000003</v>
      </c>
      <c r="N182" s="13">
        <f t="shared" si="46"/>
        <v>2.6925000000000003</v>
      </c>
      <c r="O182" s="13">
        <f t="shared" si="46"/>
        <v>2.6925000000000003</v>
      </c>
      <c r="P182" s="13">
        <f t="shared" si="46"/>
        <v>2.6925000000000003</v>
      </c>
      <c r="Q182" s="13">
        <f t="shared" si="46"/>
        <v>2.6925000000000003</v>
      </c>
      <c r="R182" s="13">
        <f t="shared" si="46"/>
        <v>2.6925000000000003</v>
      </c>
      <c r="S182" s="13">
        <f t="shared" si="46"/>
        <v>2.6925000000000003</v>
      </c>
      <c r="T182" s="13">
        <f t="shared" si="46"/>
        <v>2.6925000000000003</v>
      </c>
      <c r="U182" s="13">
        <f t="shared" si="46"/>
        <v>2.6925000000000003</v>
      </c>
      <c r="V182" s="13">
        <f t="shared" si="46"/>
        <v>2.6925000000000003</v>
      </c>
      <c r="W182" s="13">
        <f t="shared" si="46"/>
        <v>2.6925000000000003</v>
      </c>
      <c r="X182" s="13">
        <f t="shared" si="46"/>
        <v>2.6925000000000003</v>
      </c>
      <c r="Y182" s="13">
        <f t="shared" si="43"/>
        <v>32.309999999999995</v>
      </c>
      <c r="Z182" s="13">
        <f t="shared" si="44"/>
        <v>298.87</v>
      </c>
      <c r="AA182" s="13">
        <f t="shared" si="45"/>
        <v>60.129999999999995</v>
      </c>
    </row>
    <row r="183" spans="3:27" ht="15" customHeight="1" x14ac:dyDescent="0.2">
      <c r="C183" s="10" t="s">
        <v>313</v>
      </c>
      <c r="D183" s="10" t="s">
        <v>314</v>
      </c>
      <c r="E183" s="11">
        <v>43466</v>
      </c>
      <c r="F183" s="11">
        <v>43466</v>
      </c>
      <c r="G183" s="12">
        <v>3</v>
      </c>
      <c r="H183" s="12">
        <v>36</v>
      </c>
      <c r="I183" s="13">
        <v>732</v>
      </c>
      <c r="J183" s="13">
        <v>73.2</v>
      </c>
      <c r="K183" s="13">
        <f t="shared" si="39"/>
        <v>658.8</v>
      </c>
      <c r="L183" s="13">
        <v>658.8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f t="shared" si="43"/>
        <v>0</v>
      </c>
      <c r="Z183" s="13">
        <f t="shared" si="44"/>
        <v>658.8</v>
      </c>
      <c r="AA183" s="13">
        <f t="shared" si="45"/>
        <v>73.200000000000045</v>
      </c>
    </row>
    <row r="184" spans="3:27" s="18" customFormat="1" ht="15" customHeight="1" x14ac:dyDescent="0.2">
      <c r="C184" s="39" t="s">
        <v>37</v>
      </c>
      <c r="D184" s="39"/>
      <c r="E184" s="39"/>
      <c r="F184" s="39"/>
      <c r="G184" s="39"/>
      <c r="H184" s="39"/>
      <c r="I184" s="16">
        <f>SUM(I173:I183)</f>
        <v>27692.600000000002</v>
      </c>
      <c r="J184" s="17">
        <f t="shared" ref="J184:L184" si="47">SUM(J173:J183)</f>
        <v>410.59999999999997</v>
      </c>
      <c r="K184" s="17">
        <f t="shared" si="47"/>
        <v>27282</v>
      </c>
      <c r="L184" s="16">
        <f t="shared" si="47"/>
        <v>27112.850000000002</v>
      </c>
      <c r="M184" s="37">
        <f t="shared" ref="M184" si="48">SUM(M173:M183)</f>
        <v>25.3</v>
      </c>
      <c r="N184" s="37">
        <f t="shared" ref="N184" si="49">SUM(N173:N183)</f>
        <v>14.692500000000001</v>
      </c>
      <c r="O184" s="37">
        <f t="shared" ref="O184" si="50">SUM(O173:O183)</f>
        <v>14.692500000000001</v>
      </c>
      <c r="P184" s="37">
        <f t="shared" ref="P184" si="51">SUM(P173:P183)</f>
        <v>14.692500000000001</v>
      </c>
      <c r="Q184" s="37">
        <f t="shared" ref="Q184" si="52">SUM(Q173:Q183)</f>
        <v>14.692500000000001</v>
      </c>
      <c r="R184" s="37">
        <f t="shared" ref="R184" si="53">SUM(R173:R183)</f>
        <v>14.692500000000001</v>
      </c>
      <c r="S184" s="37">
        <f t="shared" ref="S184" si="54">SUM(S173:S183)</f>
        <v>14.692500000000001</v>
      </c>
      <c r="T184" s="37">
        <f t="shared" ref="T184" si="55">SUM(T173:T183)</f>
        <v>14.692500000000001</v>
      </c>
      <c r="U184" s="37">
        <f t="shared" ref="U184" si="56">SUM(U173:U183)</f>
        <v>8.6925000000000008</v>
      </c>
      <c r="V184" s="17">
        <f t="shared" ref="V184" si="57">SUM(V173:V183)</f>
        <v>2.6925000000000003</v>
      </c>
      <c r="W184" s="17">
        <f t="shared" ref="W184" si="58">SUM(W173:W183)</f>
        <v>2.6925000000000003</v>
      </c>
      <c r="X184" s="17">
        <f t="shared" ref="X184" si="59">SUM(X173:X183)</f>
        <v>2.6925000000000003</v>
      </c>
      <c r="Y184" s="17">
        <f t="shared" ref="Y184" si="60">SUM(Y173:Y183)</f>
        <v>144.91749999999999</v>
      </c>
      <c r="Z184" s="17">
        <f t="shared" ref="Z184" si="61">SUM(Z173:Z183)</f>
        <v>27257.767500000002</v>
      </c>
      <c r="AA184" s="17">
        <f t="shared" ref="AA184" si="62">SUM(AA173:AA183)</f>
        <v>434.8325000000001</v>
      </c>
    </row>
    <row r="187" spans="3:27" ht="15.75" customHeight="1" x14ac:dyDescent="0.2">
      <c r="C187" s="41" t="s">
        <v>315</v>
      </c>
      <c r="D187" s="41"/>
      <c r="E187" s="10"/>
      <c r="F187" s="10"/>
      <c r="G187" s="10"/>
      <c r="H187" s="10"/>
      <c r="I187" s="15"/>
      <c r="J187" s="15"/>
      <c r="K187" s="15"/>
      <c r="L187" s="15"/>
    </row>
    <row r="188" spans="3:27" ht="15" customHeight="1" x14ac:dyDescent="0.2">
      <c r="C188" s="10" t="s">
        <v>316</v>
      </c>
      <c r="D188" s="10" t="s">
        <v>317</v>
      </c>
      <c r="E188" s="11">
        <v>39114</v>
      </c>
      <c r="F188" s="11">
        <v>39114</v>
      </c>
      <c r="G188" s="12">
        <v>10</v>
      </c>
      <c r="H188" s="12">
        <v>120</v>
      </c>
      <c r="I188" s="13">
        <v>1500</v>
      </c>
      <c r="J188" s="13">
        <v>0</v>
      </c>
      <c r="K188" s="13">
        <f>+I188-J188</f>
        <v>1500</v>
      </c>
      <c r="L188" s="13">
        <v>1500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f t="shared" ref="Y188:Y189" si="63">SUM(M188:X188)</f>
        <v>0</v>
      </c>
      <c r="Z188" s="13">
        <f t="shared" ref="Z188:Z189" si="64">+L188+Y188</f>
        <v>1500</v>
      </c>
      <c r="AA188" s="13">
        <f t="shared" ref="AA188:AA189" si="65">+I188-Z188</f>
        <v>0</v>
      </c>
    </row>
    <row r="189" spans="3:27" ht="15" customHeight="1" x14ac:dyDescent="0.2">
      <c r="C189" s="10" t="s">
        <v>318</v>
      </c>
      <c r="D189" s="10" t="s">
        <v>319</v>
      </c>
      <c r="E189" s="11">
        <v>39114</v>
      </c>
      <c r="F189" s="11">
        <v>39114</v>
      </c>
      <c r="G189" s="12">
        <v>10</v>
      </c>
      <c r="H189" s="12">
        <v>120</v>
      </c>
      <c r="I189" s="13">
        <v>1200</v>
      </c>
      <c r="J189" s="13">
        <v>0</v>
      </c>
      <c r="K189" s="13">
        <f>+I189-J189</f>
        <v>1200</v>
      </c>
      <c r="L189" s="13">
        <v>1200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f t="shared" si="63"/>
        <v>0</v>
      </c>
      <c r="Z189" s="13">
        <f t="shared" si="64"/>
        <v>1200</v>
      </c>
      <c r="AA189" s="13">
        <f t="shared" si="65"/>
        <v>0</v>
      </c>
    </row>
    <row r="190" spans="3:27" ht="15" customHeight="1" x14ac:dyDescent="0.2">
      <c r="C190" s="39" t="s">
        <v>37</v>
      </c>
      <c r="D190" s="39"/>
      <c r="E190" s="39"/>
      <c r="F190" s="39"/>
      <c r="G190" s="39"/>
      <c r="H190" s="39"/>
      <c r="I190" s="16">
        <f>SUM(I188:I189)</f>
        <v>2700</v>
      </c>
      <c r="J190" s="17">
        <f t="shared" ref="J190:L190" si="66">SUM(J188:J189)</f>
        <v>0</v>
      </c>
      <c r="K190" s="17">
        <f t="shared" si="66"/>
        <v>2700</v>
      </c>
      <c r="L190" s="16">
        <f t="shared" si="66"/>
        <v>2700</v>
      </c>
      <c r="M190" s="17">
        <f t="shared" ref="M190" si="67">SUM(M188:M189)</f>
        <v>0</v>
      </c>
      <c r="N190" s="17">
        <f t="shared" ref="N190" si="68">SUM(N188:N189)</f>
        <v>0</v>
      </c>
      <c r="O190" s="17">
        <f t="shared" ref="O190" si="69">SUM(O188:O189)</f>
        <v>0</v>
      </c>
      <c r="P190" s="17">
        <f t="shared" ref="P190" si="70">SUM(P188:P189)</f>
        <v>0</v>
      </c>
      <c r="Q190" s="17">
        <f t="shared" ref="Q190" si="71">SUM(Q188:Q189)</f>
        <v>0</v>
      </c>
      <c r="R190" s="17">
        <f t="shared" ref="R190" si="72">SUM(R188:R189)</f>
        <v>0</v>
      </c>
      <c r="S190" s="17">
        <f t="shared" ref="S190" si="73">SUM(S188:S189)</f>
        <v>0</v>
      </c>
      <c r="T190" s="17">
        <f t="shared" ref="T190" si="74">SUM(T188:T189)</f>
        <v>0</v>
      </c>
      <c r="U190" s="17">
        <f t="shared" ref="U190" si="75">SUM(U188:U189)</f>
        <v>0</v>
      </c>
      <c r="V190" s="17">
        <f t="shared" ref="V190" si="76">SUM(V188:V189)</f>
        <v>0</v>
      </c>
      <c r="W190" s="17">
        <f t="shared" ref="W190" si="77">SUM(W188:W189)</f>
        <v>0</v>
      </c>
      <c r="X190" s="17">
        <f t="shared" ref="X190" si="78">SUM(X188:X189)</f>
        <v>0</v>
      </c>
      <c r="Y190" s="17">
        <f t="shared" ref="Y190" si="79">SUM(Y188:Y189)</f>
        <v>0</v>
      </c>
      <c r="Z190" s="17">
        <f t="shared" ref="Z190" si="80">SUM(Z188:Z189)</f>
        <v>2700</v>
      </c>
      <c r="AA190" s="17">
        <f t="shared" ref="AA190" si="81">SUM(AA188:AA189)</f>
        <v>0</v>
      </c>
    </row>
    <row r="194" spans="3:27" x14ac:dyDescent="0.2">
      <c r="C194" s="26" t="s">
        <v>320</v>
      </c>
      <c r="D194" s="10"/>
      <c r="E194" s="10"/>
      <c r="F194" s="10"/>
      <c r="G194" s="10"/>
      <c r="H194" s="10"/>
      <c r="I194" s="15"/>
      <c r="J194" s="15"/>
      <c r="K194" s="15"/>
      <c r="L194" s="15"/>
    </row>
    <row r="195" spans="3:27" ht="15" customHeight="1" x14ac:dyDescent="0.2">
      <c r="C195" s="10" t="s">
        <v>321</v>
      </c>
      <c r="D195" s="10" t="s">
        <v>322</v>
      </c>
      <c r="E195" s="11">
        <v>39114</v>
      </c>
      <c r="F195" s="11">
        <v>39114</v>
      </c>
      <c r="G195" s="12">
        <v>7</v>
      </c>
      <c r="H195" s="12">
        <v>84</v>
      </c>
      <c r="I195" s="13">
        <v>550</v>
      </c>
      <c r="J195" s="13">
        <v>0</v>
      </c>
      <c r="K195" s="13">
        <f>+I195-J195</f>
        <v>550</v>
      </c>
      <c r="L195" s="13">
        <v>550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3">
        <f t="shared" ref="Y195" si="82">SUM(M195:X195)</f>
        <v>0</v>
      </c>
      <c r="Z195" s="13">
        <f t="shared" ref="Z195" si="83">+L195+Y195</f>
        <v>550</v>
      </c>
      <c r="AA195" s="13">
        <f t="shared" ref="AA195" si="84">+I195-Z195</f>
        <v>0</v>
      </c>
    </row>
    <row r="196" spans="3:27" ht="15" customHeight="1" x14ac:dyDescent="0.2">
      <c r="C196" s="39" t="s">
        <v>37</v>
      </c>
      <c r="D196" s="39"/>
      <c r="E196" s="39"/>
      <c r="F196" s="39"/>
      <c r="G196" s="39"/>
      <c r="H196" s="39"/>
      <c r="I196" s="16">
        <f>SUM(I195)</f>
        <v>550</v>
      </c>
      <c r="J196" s="17">
        <f t="shared" ref="J196:L196" si="85">SUM(J195)</f>
        <v>0</v>
      </c>
      <c r="K196" s="16">
        <f t="shared" si="85"/>
        <v>550</v>
      </c>
      <c r="L196" s="16">
        <f t="shared" si="85"/>
        <v>550</v>
      </c>
      <c r="M196" s="17">
        <f t="shared" ref="M196" si="86">SUM(M195)</f>
        <v>0</v>
      </c>
      <c r="N196" s="17">
        <f t="shared" ref="N196" si="87">SUM(N195)</f>
        <v>0</v>
      </c>
      <c r="O196" s="17">
        <f t="shared" ref="O196" si="88">SUM(O195)</f>
        <v>0</v>
      </c>
      <c r="P196" s="17">
        <f t="shared" ref="P196" si="89">SUM(P195)</f>
        <v>0</v>
      </c>
      <c r="Q196" s="17">
        <f t="shared" ref="Q196" si="90">SUM(Q195)</f>
        <v>0</v>
      </c>
      <c r="R196" s="17">
        <f t="shared" ref="R196" si="91">SUM(R195)</f>
        <v>0</v>
      </c>
      <c r="S196" s="17">
        <f t="shared" ref="S196" si="92">SUM(S195)</f>
        <v>0</v>
      </c>
      <c r="T196" s="17">
        <f t="shared" ref="T196" si="93">SUM(T195)</f>
        <v>0</v>
      </c>
      <c r="U196" s="17">
        <f t="shared" ref="U196" si="94">SUM(U195)</f>
        <v>0</v>
      </c>
      <c r="V196" s="17">
        <f t="shared" ref="V196" si="95">SUM(V195)</f>
        <v>0</v>
      </c>
      <c r="W196" s="17">
        <f t="shared" ref="W196" si="96">SUM(W195)</f>
        <v>0</v>
      </c>
      <c r="X196" s="17">
        <f t="shared" ref="X196" si="97">SUM(X195)</f>
        <v>0</v>
      </c>
      <c r="Y196" s="17">
        <f t="shared" ref="Y196" si="98">SUM(Y195)</f>
        <v>0</v>
      </c>
      <c r="Z196" s="17">
        <f t="shared" ref="Z196" si="99">SUM(Z195)</f>
        <v>550</v>
      </c>
      <c r="AA196" s="17">
        <f t="shared" ref="AA196" si="100">SUM(AA195)</f>
        <v>0</v>
      </c>
    </row>
    <row r="199" spans="3:27" ht="21.75" customHeight="1" x14ac:dyDescent="0.2">
      <c r="C199" s="41" t="s">
        <v>11</v>
      </c>
      <c r="D199" s="41"/>
      <c r="E199" s="10"/>
      <c r="F199" s="10"/>
      <c r="G199" s="10"/>
      <c r="H199" s="10"/>
      <c r="I199" s="15"/>
      <c r="J199" s="15"/>
      <c r="K199" s="15"/>
      <c r="L199" s="15"/>
    </row>
    <row r="200" spans="3:27" ht="15" customHeight="1" x14ac:dyDescent="0.2">
      <c r="C200" s="10" t="s">
        <v>31</v>
      </c>
      <c r="D200" s="10" t="s">
        <v>32</v>
      </c>
      <c r="E200" s="11">
        <v>39555</v>
      </c>
      <c r="F200" s="11">
        <v>39569</v>
      </c>
      <c r="G200" s="12">
        <v>10</v>
      </c>
      <c r="H200" s="12">
        <v>120</v>
      </c>
      <c r="I200" s="13">
        <v>1063</v>
      </c>
      <c r="J200" s="13">
        <v>0</v>
      </c>
      <c r="K200" s="13">
        <f t="shared" ref="K200:K213" si="101">+I200-J200</f>
        <v>1063</v>
      </c>
      <c r="L200" s="13">
        <v>1063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f t="shared" ref="Y200:Y213" si="102">SUM(M200:X200)</f>
        <v>0</v>
      </c>
      <c r="Z200" s="13">
        <f t="shared" ref="Z200:Z213" si="103">+L200+Y200</f>
        <v>1063</v>
      </c>
      <c r="AA200" s="13">
        <f t="shared" ref="AA200:AA213" si="104">+I200-Z200</f>
        <v>0</v>
      </c>
    </row>
    <row r="201" spans="3:27" ht="15" customHeight="1" x14ac:dyDescent="0.2">
      <c r="C201" s="10" t="s">
        <v>25</v>
      </c>
      <c r="D201" s="10" t="s">
        <v>26</v>
      </c>
      <c r="E201" s="11">
        <v>40179</v>
      </c>
      <c r="F201" s="11">
        <v>40179</v>
      </c>
      <c r="G201" s="12">
        <v>8</v>
      </c>
      <c r="H201" s="12">
        <v>96</v>
      </c>
      <c r="I201" s="13">
        <v>13390</v>
      </c>
      <c r="J201" s="13">
        <v>0</v>
      </c>
      <c r="K201" s="13">
        <f t="shared" si="101"/>
        <v>13390</v>
      </c>
      <c r="L201" s="13">
        <v>13390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f t="shared" si="102"/>
        <v>0</v>
      </c>
      <c r="Z201" s="13">
        <f t="shared" si="103"/>
        <v>13390</v>
      </c>
      <c r="AA201" s="13">
        <f t="shared" si="104"/>
        <v>0</v>
      </c>
    </row>
    <row r="202" spans="3:27" ht="15" customHeight="1" x14ac:dyDescent="0.2">
      <c r="C202" s="10" t="s">
        <v>29</v>
      </c>
      <c r="D202" s="10" t="s">
        <v>30</v>
      </c>
      <c r="E202" s="11">
        <v>40220</v>
      </c>
      <c r="F202" s="11">
        <v>40238</v>
      </c>
      <c r="G202" s="12">
        <v>8</v>
      </c>
      <c r="H202" s="12">
        <v>96</v>
      </c>
      <c r="I202" s="13">
        <v>16007.38</v>
      </c>
      <c r="J202" s="13">
        <v>0</v>
      </c>
      <c r="K202" s="13">
        <f t="shared" si="101"/>
        <v>16007.38</v>
      </c>
      <c r="L202" s="13">
        <v>16007.38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f t="shared" si="102"/>
        <v>0</v>
      </c>
      <c r="Z202" s="13">
        <f t="shared" si="103"/>
        <v>16007.38</v>
      </c>
      <c r="AA202" s="13">
        <f t="shared" si="104"/>
        <v>0</v>
      </c>
    </row>
    <row r="203" spans="3:27" ht="15" customHeight="1" x14ac:dyDescent="0.2">
      <c r="C203" s="10" t="s">
        <v>28</v>
      </c>
      <c r="D203" s="10" t="s">
        <v>26</v>
      </c>
      <c r="E203" s="11">
        <v>40346</v>
      </c>
      <c r="F203" s="11">
        <v>40330</v>
      </c>
      <c r="G203" s="12">
        <v>8</v>
      </c>
      <c r="H203" s="12">
        <v>96</v>
      </c>
      <c r="I203" s="13">
        <v>17388.68</v>
      </c>
      <c r="J203" s="13">
        <v>0</v>
      </c>
      <c r="K203" s="13">
        <f t="shared" si="101"/>
        <v>17388.68</v>
      </c>
      <c r="L203" s="13">
        <v>17388.68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f t="shared" si="102"/>
        <v>0</v>
      </c>
      <c r="Z203" s="13">
        <f t="shared" si="103"/>
        <v>17388.68</v>
      </c>
      <c r="AA203" s="13">
        <f t="shared" si="104"/>
        <v>0</v>
      </c>
    </row>
    <row r="204" spans="3:27" ht="15" customHeight="1" x14ac:dyDescent="0.2">
      <c r="C204" s="10" t="s">
        <v>35</v>
      </c>
      <c r="D204" s="10" t="s">
        <v>36</v>
      </c>
      <c r="E204" s="11">
        <v>40425</v>
      </c>
      <c r="F204" s="11">
        <v>40425</v>
      </c>
      <c r="G204" s="12">
        <v>10</v>
      </c>
      <c r="H204" s="12">
        <v>120</v>
      </c>
      <c r="I204" s="13">
        <v>3172.5</v>
      </c>
      <c r="J204" s="13">
        <v>0</v>
      </c>
      <c r="K204" s="13">
        <f t="shared" si="101"/>
        <v>3172.5</v>
      </c>
      <c r="L204" s="13">
        <v>3172.5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f t="shared" si="102"/>
        <v>0</v>
      </c>
      <c r="Z204" s="13">
        <f t="shared" si="103"/>
        <v>3172.5</v>
      </c>
      <c r="AA204" s="13">
        <f t="shared" si="104"/>
        <v>0</v>
      </c>
    </row>
    <row r="205" spans="3:27" ht="15" customHeight="1" x14ac:dyDescent="0.2">
      <c r="C205" s="10" t="s">
        <v>19</v>
      </c>
      <c r="D205" s="10" t="s">
        <v>20</v>
      </c>
      <c r="E205" s="11">
        <v>40464</v>
      </c>
      <c r="F205" s="11">
        <v>40210</v>
      </c>
      <c r="G205" s="12">
        <v>10</v>
      </c>
      <c r="H205" s="12">
        <v>120</v>
      </c>
      <c r="I205" s="13">
        <v>10495.8</v>
      </c>
      <c r="J205" s="13">
        <v>0</v>
      </c>
      <c r="K205" s="13">
        <f t="shared" si="101"/>
        <v>10495.8</v>
      </c>
      <c r="L205" s="13">
        <v>10495.8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f t="shared" si="102"/>
        <v>0</v>
      </c>
      <c r="Z205" s="13">
        <f t="shared" si="103"/>
        <v>10495.8</v>
      </c>
      <c r="AA205" s="13">
        <f t="shared" si="104"/>
        <v>0</v>
      </c>
    </row>
    <row r="206" spans="3:27" ht="15" customHeight="1" x14ac:dyDescent="0.2">
      <c r="C206" s="10" t="s">
        <v>23</v>
      </c>
      <c r="D206" s="10" t="s">
        <v>24</v>
      </c>
      <c r="E206" s="11">
        <v>40527</v>
      </c>
      <c r="F206" s="11">
        <v>40544</v>
      </c>
      <c r="G206" s="12">
        <v>5</v>
      </c>
      <c r="H206" s="12">
        <v>60</v>
      </c>
      <c r="I206" s="13">
        <v>3800.66</v>
      </c>
      <c r="J206" s="13">
        <v>0</v>
      </c>
      <c r="K206" s="13">
        <f t="shared" si="101"/>
        <v>3800.66</v>
      </c>
      <c r="L206" s="13">
        <v>3800.66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f t="shared" si="102"/>
        <v>0</v>
      </c>
      <c r="Z206" s="13">
        <f t="shared" si="103"/>
        <v>3800.66</v>
      </c>
      <c r="AA206" s="13">
        <f t="shared" si="104"/>
        <v>0</v>
      </c>
    </row>
    <row r="207" spans="3:27" ht="15" customHeight="1" x14ac:dyDescent="0.2">
      <c r="C207" s="10" t="s">
        <v>14</v>
      </c>
      <c r="D207" s="10" t="s">
        <v>15</v>
      </c>
      <c r="E207" s="11">
        <v>40756</v>
      </c>
      <c r="F207" s="11">
        <v>40756</v>
      </c>
      <c r="G207" s="12">
        <v>8</v>
      </c>
      <c r="H207" s="12">
        <v>96</v>
      </c>
      <c r="I207" s="13">
        <v>1679.64</v>
      </c>
      <c r="J207" s="13">
        <v>0</v>
      </c>
      <c r="K207" s="13">
        <f t="shared" si="101"/>
        <v>1679.64</v>
      </c>
      <c r="L207" s="13">
        <v>1679.64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f t="shared" si="102"/>
        <v>0</v>
      </c>
      <c r="Z207" s="13">
        <f t="shared" si="103"/>
        <v>1679.64</v>
      </c>
      <c r="AA207" s="13">
        <f t="shared" si="104"/>
        <v>0</v>
      </c>
    </row>
    <row r="208" spans="3:27" ht="15" customHeight="1" x14ac:dyDescent="0.2">
      <c r="C208" s="10" t="s">
        <v>21</v>
      </c>
      <c r="D208" s="10" t="s">
        <v>22</v>
      </c>
      <c r="E208" s="11">
        <v>40817</v>
      </c>
      <c r="F208" s="11">
        <v>40817</v>
      </c>
      <c r="G208" s="12">
        <v>8</v>
      </c>
      <c r="H208" s="12">
        <v>96</v>
      </c>
      <c r="I208" s="13">
        <v>7878.29</v>
      </c>
      <c r="J208" s="13">
        <v>0</v>
      </c>
      <c r="K208" s="13">
        <f t="shared" si="101"/>
        <v>7878.29</v>
      </c>
      <c r="L208" s="13">
        <v>7878.29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f t="shared" si="102"/>
        <v>0</v>
      </c>
      <c r="Z208" s="13">
        <f t="shared" si="103"/>
        <v>7878.29</v>
      </c>
      <c r="AA208" s="13">
        <f t="shared" si="104"/>
        <v>0</v>
      </c>
    </row>
    <row r="209" spans="3:27" ht="15" customHeight="1" x14ac:dyDescent="0.2">
      <c r="C209" s="10" t="s">
        <v>33</v>
      </c>
      <c r="D209" s="10" t="s">
        <v>34</v>
      </c>
      <c r="E209" s="11">
        <v>41565</v>
      </c>
      <c r="F209" s="11">
        <v>41579</v>
      </c>
      <c r="G209" s="12">
        <v>10</v>
      </c>
      <c r="H209" s="12">
        <v>120</v>
      </c>
      <c r="I209" s="13">
        <v>348.06</v>
      </c>
      <c r="J209" s="13">
        <v>0</v>
      </c>
      <c r="K209" s="13">
        <f t="shared" si="101"/>
        <v>348.06</v>
      </c>
      <c r="L209" s="13">
        <v>348.06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f t="shared" si="102"/>
        <v>0</v>
      </c>
      <c r="Z209" s="13">
        <f t="shared" si="103"/>
        <v>348.06</v>
      </c>
      <c r="AA209" s="13">
        <f t="shared" si="104"/>
        <v>0</v>
      </c>
    </row>
    <row r="210" spans="3:27" ht="15" customHeight="1" x14ac:dyDescent="0.2">
      <c r="C210" s="10" t="s">
        <v>27</v>
      </c>
      <c r="D210" s="10" t="s">
        <v>26</v>
      </c>
      <c r="E210" s="11">
        <v>41639</v>
      </c>
      <c r="F210" s="11">
        <v>41640</v>
      </c>
      <c r="G210" s="12">
        <v>21</v>
      </c>
      <c r="H210" s="12">
        <v>252</v>
      </c>
      <c r="I210" s="13">
        <v>81170.33</v>
      </c>
      <c r="J210" s="13">
        <v>8117.03</v>
      </c>
      <c r="K210" s="13">
        <f t="shared" si="101"/>
        <v>73053.3</v>
      </c>
      <c r="L210" s="13">
        <v>38266.01</v>
      </c>
      <c r="M210" s="13">
        <f t="shared" ref="M210:X213" si="105">+$K210/$H210</f>
        <v>289.89404761904763</v>
      </c>
      <c r="N210" s="13">
        <f t="shared" si="105"/>
        <v>289.89404761904763</v>
      </c>
      <c r="O210" s="13">
        <f t="shared" si="105"/>
        <v>289.89404761904763</v>
      </c>
      <c r="P210" s="13">
        <f t="shared" si="105"/>
        <v>289.89404761904763</v>
      </c>
      <c r="Q210" s="13">
        <f t="shared" si="105"/>
        <v>289.89404761904763</v>
      </c>
      <c r="R210" s="13">
        <f t="shared" si="105"/>
        <v>289.89404761904763</v>
      </c>
      <c r="S210" s="13">
        <f t="shared" si="105"/>
        <v>289.89404761904763</v>
      </c>
      <c r="T210" s="13">
        <f t="shared" si="105"/>
        <v>289.89404761904763</v>
      </c>
      <c r="U210" s="13">
        <f t="shared" si="105"/>
        <v>289.89404761904763</v>
      </c>
      <c r="V210" s="13">
        <f t="shared" si="105"/>
        <v>289.89404761904763</v>
      </c>
      <c r="W210" s="13">
        <f t="shared" si="105"/>
        <v>289.89404761904763</v>
      </c>
      <c r="X210" s="13">
        <f t="shared" si="105"/>
        <v>289.89404761904763</v>
      </c>
      <c r="Y210" s="13">
        <f t="shared" si="102"/>
        <v>3478.7285714285722</v>
      </c>
      <c r="Z210" s="13">
        <f t="shared" si="103"/>
        <v>41744.738571428577</v>
      </c>
      <c r="AA210" s="13">
        <f t="shared" si="104"/>
        <v>39425.591428571424</v>
      </c>
    </row>
    <row r="211" spans="3:27" ht="15" customHeight="1" x14ac:dyDescent="0.2">
      <c r="C211" s="10" t="s">
        <v>16</v>
      </c>
      <c r="D211" s="10" t="s">
        <v>17</v>
      </c>
      <c r="E211" s="11">
        <v>42004</v>
      </c>
      <c r="F211" s="11">
        <v>42005</v>
      </c>
      <c r="G211" s="12">
        <v>21</v>
      </c>
      <c r="H211" s="12">
        <v>252</v>
      </c>
      <c r="I211" s="13">
        <v>35406.230000000003</v>
      </c>
      <c r="J211" s="13">
        <v>3540.62</v>
      </c>
      <c r="K211" s="13">
        <f t="shared" si="101"/>
        <v>31865.610000000004</v>
      </c>
      <c r="L211" s="13">
        <v>15174.1</v>
      </c>
      <c r="M211" s="13">
        <f t="shared" si="105"/>
        <v>126.45083333333335</v>
      </c>
      <c r="N211" s="13">
        <f t="shared" si="105"/>
        <v>126.45083333333335</v>
      </c>
      <c r="O211" s="13">
        <f t="shared" si="105"/>
        <v>126.45083333333335</v>
      </c>
      <c r="P211" s="13">
        <f t="shared" si="105"/>
        <v>126.45083333333335</v>
      </c>
      <c r="Q211" s="13">
        <f t="shared" si="105"/>
        <v>126.45083333333335</v>
      </c>
      <c r="R211" s="13">
        <f t="shared" si="105"/>
        <v>126.45083333333335</v>
      </c>
      <c r="S211" s="13">
        <f t="shared" si="105"/>
        <v>126.45083333333335</v>
      </c>
      <c r="T211" s="13">
        <f t="shared" si="105"/>
        <v>126.45083333333335</v>
      </c>
      <c r="U211" s="13">
        <f t="shared" si="105"/>
        <v>126.45083333333335</v>
      </c>
      <c r="V211" s="13">
        <f t="shared" si="105"/>
        <v>126.45083333333335</v>
      </c>
      <c r="W211" s="13">
        <f t="shared" si="105"/>
        <v>126.45083333333335</v>
      </c>
      <c r="X211" s="13">
        <f t="shared" si="105"/>
        <v>126.45083333333335</v>
      </c>
      <c r="Y211" s="13">
        <f t="shared" si="102"/>
        <v>1517.41</v>
      </c>
      <c r="Z211" s="13">
        <f t="shared" si="103"/>
        <v>16691.510000000002</v>
      </c>
      <c r="AA211" s="13">
        <f t="shared" si="104"/>
        <v>18714.72</v>
      </c>
    </row>
    <row r="212" spans="3:27" ht="15" customHeight="1" x14ac:dyDescent="0.2">
      <c r="C212" s="10" t="s">
        <v>18</v>
      </c>
      <c r="D212" s="10" t="s">
        <v>17</v>
      </c>
      <c r="E212" s="11">
        <v>42369</v>
      </c>
      <c r="F212" s="11">
        <v>42370</v>
      </c>
      <c r="G212" s="12">
        <v>21</v>
      </c>
      <c r="H212" s="12">
        <v>252</v>
      </c>
      <c r="I212" s="13">
        <v>35255.26</v>
      </c>
      <c r="J212" s="13">
        <v>3525.53</v>
      </c>
      <c r="K212" s="13">
        <f t="shared" si="101"/>
        <v>31729.730000000003</v>
      </c>
      <c r="L212" s="13">
        <v>13598.46</v>
      </c>
      <c r="M212" s="13">
        <f t="shared" si="105"/>
        <v>125.911626984127</v>
      </c>
      <c r="N212" s="13">
        <f t="shared" si="105"/>
        <v>125.911626984127</v>
      </c>
      <c r="O212" s="13">
        <f t="shared" si="105"/>
        <v>125.911626984127</v>
      </c>
      <c r="P212" s="13">
        <f t="shared" si="105"/>
        <v>125.911626984127</v>
      </c>
      <c r="Q212" s="13">
        <f t="shared" si="105"/>
        <v>125.911626984127</v>
      </c>
      <c r="R212" s="13">
        <f t="shared" si="105"/>
        <v>125.911626984127</v>
      </c>
      <c r="S212" s="13">
        <f t="shared" si="105"/>
        <v>125.911626984127</v>
      </c>
      <c r="T212" s="13">
        <f t="shared" si="105"/>
        <v>125.911626984127</v>
      </c>
      <c r="U212" s="13">
        <f t="shared" si="105"/>
        <v>125.911626984127</v>
      </c>
      <c r="V212" s="13">
        <f t="shared" si="105"/>
        <v>125.911626984127</v>
      </c>
      <c r="W212" s="13">
        <f t="shared" si="105"/>
        <v>125.911626984127</v>
      </c>
      <c r="X212" s="13">
        <f t="shared" si="105"/>
        <v>125.911626984127</v>
      </c>
      <c r="Y212" s="13">
        <f t="shared" si="102"/>
        <v>1510.939523809524</v>
      </c>
      <c r="Z212" s="13">
        <f t="shared" si="103"/>
        <v>15109.399523809523</v>
      </c>
      <c r="AA212" s="13">
        <f t="shared" si="104"/>
        <v>20145.860476190479</v>
      </c>
    </row>
    <row r="213" spans="3:27" ht="15" customHeight="1" x14ac:dyDescent="0.2">
      <c r="C213" s="10" t="s">
        <v>12</v>
      </c>
      <c r="D213" s="10" t="s">
        <v>13</v>
      </c>
      <c r="E213" s="11">
        <v>44889</v>
      </c>
      <c r="F213" s="11">
        <v>44896</v>
      </c>
      <c r="G213" s="12">
        <v>10</v>
      </c>
      <c r="H213" s="12">
        <v>120</v>
      </c>
      <c r="I213" s="13">
        <v>9023.2099999999991</v>
      </c>
      <c r="J213" s="13">
        <v>902.32</v>
      </c>
      <c r="K213" s="13">
        <f t="shared" si="101"/>
        <v>8120.8899999999994</v>
      </c>
      <c r="L213" s="13">
        <v>1691.85</v>
      </c>
      <c r="M213" s="13">
        <f t="shared" si="105"/>
        <v>67.674083333333328</v>
      </c>
      <c r="N213" s="13">
        <f t="shared" si="105"/>
        <v>67.674083333333328</v>
      </c>
      <c r="O213" s="13">
        <f t="shared" si="105"/>
        <v>67.674083333333328</v>
      </c>
      <c r="P213" s="13">
        <f t="shared" si="105"/>
        <v>67.674083333333328</v>
      </c>
      <c r="Q213" s="13">
        <f t="shared" si="105"/>
        <v>67.674083333333328</v>
      </c>
      <c r="R213" s="13">
        <f t="shared" si="105"/>
        <v>67.674083333333328</v>
      </c>
      <c r="S213" s="13">
        <f t="shared" si="105"/>
        <v>67.674083333333328</v>
      </c>
      <c r="T213" s="13">
        <f t="shared" si="105"/>
        <v>67.674083333333328</v>
      </c>
      <c r="U213" s="13">
        <f t="shared" si="105"/>
        <v>67.674083333333328</v>
      </c>
      <c r="V213" s="13">
        <f t="shared" si="105"/>
        <v>67.674083333333328</v>
      </c>
      <c r="W213" s="13">
        <f t="shared" si="105"/>
        <v>67.674083333333328</v>
      </c>
      <c r="X213" s="13">
        <f t="shared" si="105"/>
        <v>67.674083333333328</v>
      </c>
      <c r="Y213" s="13">
        <f t="shared" si="102"/>
        <v>812.08899999999994</v>
      </c>
      <c r="Z213" s="13">
        <f t="shared" si="103"/>
        <v>2503.9389999999999</v>
      </c>
      <c r="AA213" s="13">
        <f t="shared" si="104"/>
        <v>6519.2709999999988</v>
      </c>
    </row>
    <row r="214" spans="3:27" ht="15" customHeight="1" x14ac:dyDescent="0.2">
      <c r="C214" s="39" t="s">
        <v>37</v>
      </c>
      <c r="D214" s="39"/>
      <c r="E214" s="39"/>
      <c r="F214" s="39"/>
      <c r="G214" s="39"/>
      <c r="H214" s="39"/>
      <c r="I214" s="16">
        <f>SUM(I200:I213)</f>
        <v>236079.04</v>
      </c>
      <c r="J214" s="17">
        <f t="shared" ref="J214:L214" si="106">SUM(J200:J213)</f>
        <v>16085.5</v>
      </c>
      <c r="K214" s="17">
        <f t="shared" si="106"/>
        <v>219993.54000000004</v>
      </c>
      <c r="L214" s="16">
        <f t="shared" si="106"/>
        <v>143954.43</v>
      </c>
      <c r="M214" s="37">
        <f t="shared" ref="M214" si="107">SUM(M200:M213)</f>
        <v>609.93059126984133</v>
      </c>
      <c r="N214" s="37">
        <f t="shared" ref="N214" si="108">SUM(N200:N213)</f>
        <v>609.93059126984133</v>
      </c>
      <c r="O214" s="37">
        <f t="shared" ref="O214" si="109">SUM(O200:O213)</f>
        <v>609.93059126984133</v>
      </c>
      <c r="P214" s="37">
        <f t="shared" ref="P214" si="110">SUM(P200:P213)</f>
        <v>609.93059126984133</v>
      </c>
      <c r="Q214" s="37">
        <f t="shared" ref="Q214" si="111">SUM(Q200:Q213)</f>
        <v>609.93059126984133</v>
      </c>
      <c r="R214" s="37">
        <f t="shared" ref="R214" si="112">SUM(R200:R213)</f>
        <v>609.93059126984133</v>
      </c>
      <c r="S214" s="37">
        <f t="shared" ref="S214" si="113">SUM(S200:S213)</f>
        <v>609.93059126984133</v>
      </c>
      <c r="T214" s="37">
        <f t="shared" ref="T214" si="114">SUM(T200:T213)</f>
        <v>609.93059126984133</v>
      </c>
      <c r="U214" s="37">
        <f t="shared" ref="U214" si="115">SUM(U200:U213)</f>
        <v>609.93059126984133</v>
      </c>
      <c r="V214" s="17">
        <f t="shared" ref="V214" si="116">SUM(V200:V213)</f>
        <v>609.93059126984133</v>
      </c>
      <c r="W214" s="17">
        <f t="shared" ref="W214" si="117">SUM(W200:W213)</f>
        <v>609.93059126984133</v>
      </c>
      <c r="X214" s="17">
        <f t="shared" ref="X214" si="118">SUM(X200:X213)</f>
        <v>609.93059126984133</v>
      </c>
      <c r="Y214" s="17">
        <f t="shared" ref="Y214" si="119">SUM(Y200:Y213)</f>
        <v>7319.1670952380964</v>
      </c>
      <c r="Z214" s="17">
        <f t="shared" ref="Z214" si="120">SUM(Z200:Z213)</f>
        <v>151273.5970952381</v>
      </c>
      <c r="AA214" s="17">
        <f t="shared" ref="AA214" si="121">SUM(AA200:AA213)</f>
        <v>84805.442904761891</v>
      </c>
    </row>
    <row r="217" spans="3:27" x14ac:dyDescent="0.2">
      <c r="C217" s="14" t="s">
        <v>323</v>
      </c>
      <c r="D217" s="10"/>
      <c r="E217" s="10"/>
      <c r="F217" s="10"/>
      <c r="G217" s="10"/>
      <c r="H217" s="10"/>
      <c r="I217" s="15"/>
      <c r="J217" s="15"/>
      <c r="K217" s="15"/>
      <c r="L217" s="15"/>
    </row>
    <row r="218" spans="3:27" ht="15" customHeight="1" x14ac:dyDescent="0.2">
      <c r="C218" s="10" t="s">
        <v>324</v>
      </c>
      <c r="D218" s="10" t="s">
        <v>325</v>
      </c>
      <c r="E218" s="11">
        <v>40735</v>
      </c>
      <c r="F218" s="11">
        <v>40725</v>
      </c>
      <c r="G218" s="12">
        <v>10</v>
      </c>
      <c r="H218" s="12">
        <v>120</v>
      </c>
      <c r="I218" s="13">
        <v>327.7</v>
      </c>
      <c r="J218" s="13">
        <v>0</v>
      </c>
      <c r="K218" s="13">
        <f t="shared" ref="K218:K242" si="122">+I218-J218</f>
        <v>327.7</v>
      </c>
      <c r="L218" s="13">
        <v>327.7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3">
        <f t="shared" ref="Y218:Y242" si="123">SUM(M218:X218)</f>
        <v>0</v>
      </c>
      <c r="Z218" s="13">
        <f t="shared" ref="Z218:Z242" si="124">+L218+Y218</f>
        <v>327.7</v>
      </c>
      <c r="AA218" s="13">
        <f t="shared" ref="AA218:AA242" si="125">+I218-Z218</f>
        <v>0</v>
      </c>
    </row>
    <row r="219" spans="3:27" ht="15" customHeight="1" x14ac:dyDescent="0.2">
      <c r="C219" s="10" t="s">
        <v>326</v>
      </c>
      <c r="D219" s="10" t="s">
        <v>327</v>
      </c>
      <c r="E219" s="11">
        <v>39114</v>
      </c>
      <c r="F219" s="11">
        <v>39114</v>
      </c>
      <c r="G219" s="12">
        <v>10</v>
      </c>
      <c r="H219" s="12">
        <v>120</v>
      </c>
      <c r="I219" s="13">
        <v>3000</v>
      </c>
      <c r="J219" s="13">
        <v>0</v>
      </c>
      <c r="K219" s="13">
        <f t="shared" si="122"/>
        <v>3000</v>
      </c>
      <c r="L219" s="13">
        <v>3000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3">
        <f t="shared" si="123"/>
        <v>0</v>
      </c>
      <c r="Z219" s="13">
        <f t="shared" si="124"/>
        <v>3000</v>
      </c>
      <c r="AA219" s="13">
        <f t="shared" si="125"/>
        <v>0</v>
      </c>
    </row>
    <row r="220" spans="3:27" ht="15" customHeight="1" x14ac:dyDescent="0.2">
      <c r="C220" s="10" t="s">
        <v>328</v>
      </c>
      <c r="D220" s="10" t="s">
        <v>329</v>
      </c>
      <c r="E220" s="11">
        <v>40204</v>
      </c>
      <c r="F220" s="11">
        <v>40210</v>
      </c>
      <c r="G220" s="12">
        <v>10</v>
      </c>
      <c r="H220" s="12">
        <v>120</v>
      </c>
      <c r="I220" s="13">
        <v>821.5</v>
      </c>
      <c r="J220" s="13">
        <v>0</v>
      </c>
      <c r="K220" s="13">
        <f t="shared" si="122"/>
        <v>821.5</v>
      </c>
      <c r="L220" s="13">
        <v>821.5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3">
        <f t="shared" si="123"/>
        <v>0</v>
      </c>
      <c r="Z220" s="13">
        <f t="shared" si="124"/>
        <v>821.5</v>
      </c>
      <c r="AA220" s="13">
        <f t="shared" si="125"/>
        <v>0</v>
      </c>
    </row>
    <row r="221" spans="3:27" ht="15" customHeight="1" x14ac:dyDescent="0.2">
      <c r="C221" s="10" t="s">
        <v>330</v>
      </c>
      <c r="D221" s="10" t="s">
        <v>331</v>
      </c>
      <c r="E221" s="11">
        <v>40495</v>
      </c>
      <c r="F221" s="11">
        <v>40513</v>
      </c>
      <c r="G221" s="12">
        <v>10</v>
      </c>
      <c r="H221" s="12">
        <v>120</v>
      </c>
      <c r="I221" s="13">
        <v>1460</v>
      </c>
      <c r="J221" s="13">
        <v>0</v>
      </c>
      <c r="K221" s="13">
        <f t="shared" si="122"/>
        <v>1460</v>
      </c>
      <c r="L221" s="13">
        <v>1460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3">
        <f t="shared" si="123"/>
        <v>0</v>
      </c>
      <c r="Z221" s="13">
        <f t="shared" si="124"/>
        <v>1460</v>
      </c>
      <c r="AA221" s="13">
        <f t="shared" si="125"/>
        <v>0</v>
      </c>
    </row>
    <row r="222" spans="3:27" ht="15" customHeight="1" x14ac:dyDescent="0.2">
      <c r="C222" s="10" t="s">
        <v>332</v>
      </c>
      <c r="D222" s="10" t="s">
        <v>333</v>
      </c>
      <c r="E222" s="11">
        <v>40562</v>
      </c>
      <c r="F222" s="11">
        <v>40575</v>
      </c>
      <c r="G222" s="12">
        <v>10</v>
      </c>
      <c r="H222" s="12">
        <v>120</v>
      </c>
      <c r="I222" s="13">
        <v>709.67</v>
      </c>
      <c r="J222" s="13">
        <v>0</v>
      </c>
      <c r="K222" s="13">
        <f t="shared" si="122"/>
        <v>709.67</v>
      </c>
      <c r="L222" s="13">
        <v>709.67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3">
        <f t="shared" si="123"/>
        <v>0</v>
      </c>
      <c r="Z222" s="13">
        <f t="shared" si="124"/>
        <v>709.67</v>
      </c>
      <c r="AA222" s="13">
        <f t="shared" si="125"/>
        <v>0</v>
      </c>
    </row>
    <row r="223" spans="3:27" ht="15" customHeight="1" x14ac:dyDescent="0.2">
      <c r="C223" s="10" t="s">
        <v>334</v>
      </c>
      <c r="D223" s="10" t="s">
        <v>335</v>
      </c>
      <c r="E223" s="11">
        <v>40651</v>
      </c>
      <c r="F223" s="11">
        <v>40634</v>
      </c>
      <c r="G223" s="12">
        <v>10</v>
      </c>
      <c r="H223" s="12">
        <v>120</v>
      </c>
      <c r="I223" s="13">
        <v>136.5</v>
      </c>
      <c r="J223" s="13">
        <v>0</v>
      </c>
      <c r="K223" s="13">
        <f t="shared" si="122"/>
        <v>136.5</v>
      </c>
      <c r="L223" s="13">
        <v>136.5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3">
        <f t="shared" si="123"/>
        <v>0</v>
      </c>
      <c r="Z223" s="13">
        <f t="shared" si="124"/>
        <v>136.5</v>
      </c>
      <c r="AA223" s="13">
        <f t="shared" si="125"/>
        <v>0</v>
      </c>
    </row>
    <row r="224" spans="3:27" ht="15" customHeight="1" x14ac:dyDescent="0.2">
      <c r="C224" s="10" t="s">
        <v>336</v>
      </c>
      <c r="D224" s="10" t="s">
        <v>337</v>
      </c>
      <c r="E224" s="11">
        <v>40651</v>
      </c>
      <c r="F224" s="11">
        <v>40664</v>
      </c>
      <c r="G224" s="12">
        <v>10</v>
      </c>
      <c r="H224" s="12">
        <v>120</v>
      </c>
      <c r="I224" s="13">
        <v>460.01</v>
      </c>
      <c r="J224" s="13">
        <v>0</v>
      </c>
      <c r="K224" s="13">
        <f t="shared" si="122"/>
        <v>460.01</v>
      </c>
      <c r="L224" s="13">
        <v>460.01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3">
        <f t="shared" si="123"/>
        <v>0</v>
      </c>
      <c r="Z224" s="13">
        <f t="shared" si="124"/>
        <v>460.01</v>
      </c>
      <c r="AA224" s="13">
        <f t="shared" si="125"/>
        <v>0</v>
      </c>
    </row>
    <row r="225" spans="3:27" ht="15" customHeight="1" x14ac:dyDescent="0.2">
      <c r="C225" s="10" t="s">
        <v>338</v>
      </c>
      <c r="D225" s="10" t="s">
        <v>339</v>
      </c>
      <c r="E225" s="11">
        <v>40735</v>
      </c>
      <c r="F225" s="11">
        <v>40725</v>
      </c>
      <c r="G225" s="12">
        <v>10</v>
      </c>
      <c r="H225" s="12">
        <v>120</v>
      </c>
      <c r="I225" s="13">
        <v>125</v>
      </c>
      <c r="J225" s="13">
        <v>0</v>
      </c>
      <c r="K225" s="13">
        <f t="shared" si="122"/>
        <v>125</v>
      </c>
      <c r="L225" s="13">
        <v>125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3">
        <f t="shared" si="123"/>
        <v>0</v>
      </c>
      <c r="Z225" s="13">
        <f t="shared" si="124"/>
        <v>125</v>
      </c>
      <c r="AA225" s="13">
        <f t="shared" si="125"/>
        <v>0</v>
      </c>
    </row>
    <row r="226" spans="3:27" ht="15" customHeight="1" x14ac:dyDescent="0.2">
      <c r="C226" s="10" t="s">
        <v>340</v>
      </c>
      <c r="D226" s="10" t="s">
        <v>341</v>
      </c>
      <c r="E226" s="11">
        <v>40735</v>
      </c>
      <c r="F226" s="11">
        <v>40725</v>
      </c>
      <c r="G226" s="12">
        <v>10</v>
      </c>
      <c r="H226" s="12">
        <v>120</v>
      </c>
      <c r="I226" s="13">
        <v>279.5</v>
      </c>
      <c r="J226" s="13">
        <v>0</v>
      </c>
      <c r="K226" s="13">
        <f t="shared" si="122"/>
        <v>279.5</v>
      </c>
      <c r="L226" s="13">
        <v>279.5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3">
        <f t="shared" si="123"/>
        <v>0</v>
      </c>
      <c r="Z226" s="13">
        <f t="shared" si="124"/>
        <v>279.5</v>
      </c>
      <c r="AA226" s="13">
        <f t="shared" si="125"/>
        <v>0</v>
      </c>
    </row>
    <row r="227" spans="3:27" ht="15" customHeight="1" x14ac:dyDescent="0.2">
      <c r="C227" s="10" t="s">
        <v>342</v>
      </c>
      <c r="D227" s="10" t="s">
        <v>343</v>
      </c>
      <c r="E227" s="11">
        <v>40735</v>
      </c>
      <c r="F227" s="11">
        <v>40725</v>
      </c>
      <c r="G227" s="12">
        <v>10</v>
      </c>
      <c r="H227" s="12">
        <v>120</v>
      </c>
      <c r="I227" s="13">
        <v>207.5</v>
      </c>
      <c r="J227" s="13">
        <v>0</v>
      </c>
      <c r="K227" s="13">
        <f t="shared" si="122"/>
        <v>207.5</v>
      </c>
      <c r="L227" s="13">
        <v>207.5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3">
        <f t="shared" si="123"/>
        <v>0</v>
      </c>
      <c r="Z227" s="13">
        <f t="shared" si="124"/>
        <v>207.5</v>
      </c>
      <c r="AA227" s="13">
        <f t="shared" si="125"/>
        <v>0</v>
      </c>
    </row>
    <row r="228" spans="3:27" ht="15" customHeight="1" x14ac:dyDescent="0.2">
      <c r="C228" s="10" t="s">
        <v>344</v>
      </c>
      <c r="D228" s="10" t="s">
        <v>345</v>
      </c>
      <c r="E228" s="11">
        <v>40735</v>
      </c>
      <c r="F228" s="11">
        <v>40725</v>
      </c>
      <c r="G228" s="12">
        <v>10</v>
      </c>
      <c r="H228" s="12">
        <v>120</v>
      </c>
      <c r="I228" s="13">
        <v>2145</v>
      </c>
      <c r="J228" s="13">
        <v>0</v>
      </c>
      <c r="K228" s="13">
        <f t="shared" si="122"/>
        <v>2145</v>
      </c>
      <c r="L228" s="13">
        <v>2145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3">
        <f t="shared" si="123"/>
        <v>0</v>
      </c>
      <c r="Z228" s="13">
        <f t="shared" si="124"/>
        <v>2145</v>
      </c>
      <c r="AA228" s="13">
        <f t="shared" si="125"/>
        <v>0</v>
      </c>
    </row>
    <row r="229" spans="3:27" ht="15" customHeight="1" x14ac:dyDescent="0.2">
      <c r="C229" s="10" t="s">
        <v>346</v>
      </c>
      <c r="D229" s="10" t="s">
        <v>347</v>
      </c>
      <c r="E229" s="11">
        <v>40735</v>
      </c>
      <c r="F229" s="11">
        <v>40725</v>
      </c>
      <c r="G229" s="12">
        <v>10</v>
      </c>
      <c r="H229" s="12">
        <v>120</v>
      </c>
      <c r="I229" s="13">
        <v>58.5</v>
      </c>
      <c r="J229" s="13">
        <v>0</v>
      </c>
      <c r="K229" s="13">
        <f t="shared" si="122"/>
        <v>58.5</v>
      </c>
      <c r="L229" s="13">
        <v>58.5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3">
        <f t="shared" si="123"/>
        <v>0</v>
      </c>
      <c r="Z229" s="13">
        <f t="shared" si="124"/>
        <v>58.5</v>
      </c>
      <c r="AA229" s="13">
        <f t="shared" si="125"/>
        <v>0</v>
      </c>
    </row>
    <row r="230" spans="3:27" ht="15" customHeight="1" x14ac:dyDescent="0.2">
      <c r="C230" s="10" t="s">
        <v>348</v>
      </c>
      <c r="D230" s="10" t="s">
        <v>349</v>
      </c>
      <c r="E230" s="11">
        <v>40735</v>
      </c>
      <c r="F230" s="11">
        <v>40725</v>
      </c>
      <c r="G230" s="12">
        <v>10</v>
      </c>
      <c r="H230" s="12">
        <v>120</v>
      </c>
      <c r="I230" s="13">
        <v>139.28</v>
      </c>
      <c r="J230" s="13">
        <v>0</v>
      </c>
      <c r="K230" s="13">
        <f t="shared" si="122"/>
        <v>139.28</v>
      </c>
      <c r="L230" s="13">
        <v>139.28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3">
        <f t="shared" si="123"/>
        <v>0</v>
      </c>
      <c r="Z230" s="13">
        <f t="shared" si="124"/>
        <v>139.28</v>
      </c>
      <c r="AA230" s="13">
        <f t="shared" si="125"/>
        <v>0</v>
      </c>
    </row>
    <row r="231" spans="3:27" ht="15" customHeight="1" x14ac:dyDescent="0.2">
      <c r="C231" s="10" t="s">
        <v>350</v>
      </c>
      <c r="D231" s="10" t="s">
        <v>351</v>
      </c>
      <c r="E231" s="11">
        <v>40735</v>
      </c>
      <c r="F231" s="11">
        <v>40725</v>
      </c>
      <c r="G231" s="12">
        <v>10</v>
      </c>
      <c r="H231" s="12">
        <v>120</v>
      </c>
      <c r="I231" s="13">
        <v>48</v>
      </c>
      <c r="J231" s="13">
        <v>0</v>
      </c>
      <c r="K231" s="13">
        <f t="shared" si="122"/>
        <v>48</v>
      </c>
      <c r="L231" s="13">
        <v>48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3">
        <f t="shared" si="123"/>
        <v>0</v>
      </c>
      <c r="Z231" s="13">
        <f t="shared" si="124"/>
        <v>48</v>
      </c>
      <c r="AA231" s="13">
        <f t="shared" si="125"/>
        <v>0</v>
      </c>
    </row>
    <row r="232" spans="3:27" ht="15" customHeight="1" x14ac:dyDescent="0.2">
      <c r="C232" s="10" t="s">
        <v>352</v>
      </c>
      <c r="D232" s="10" t="s">
        <v>353</v>
      </c>
      <c r="E232" s="11">
        <v>40735</v>
      </c>
      <c r="F232" s="11">
        <v>40725</v>
      </c>
      <c r="G232" s="12">
        <v>10</v>
      </c>
      <c r="H232" s="12">
        <v>120</v>
      </c>
      <c r="I232" s="13">
        <v>233.41</v>
      </c>
      <c r="J232" s="13">
        <v>0</v>
      </c>
      <c r="K232" s="13">
        <f t="shared" si="122"/>
        <v>233.41</v>
      </c>
      <c r="L232" s="13">
        <v>233.41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3">
        <f t="shared" si="123"/>
        <v>0</v>
      </c>
      <c r="Z232" s="13">
        <f t="shared" si="124"/>
        <v>233.41</v>
      </c>
      <c r="AA232" s="13">
        <f t="shared" si="125"/>
        <v>0</v>
      </c>
    </row>
    <row r="233" spans="3:27" ht="15" customHeight="1" x14ac:dyDescent="0.2">
      <c r="C233" s="10" t="s">
        <v>354</v>
      </c>
      <c r="D233" s="10" t="s">
        <v>355</v>
      </c>
      <c r="E233" s="11">
        <v>40757</v>
      </c>
      <c r="F233" s="11">
        <v>40756</v>
      </c>
      <c r="G233" s="12">
        <v>10</v>
      </c>
      <c r="H233" s="12">
        <v>120</v>
      </c>
      <c r="I233" s="13">
        <v>360</v>
      </c>
      <c r="J233" s="13">
        <v>0</v>
      </c>
      <c r="K233" s="13">
        <f t="shared" si="122"/>
        <v>360</v>
      </c>
      <c r="L233" s="13">
        <v>360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3">
        <f t="shared" si="123"/>
        <v>0</v>
      </c>
      <c r="Z233" s="13">
        <f t="shared" si="124"/>
        <v>360</v>
      </c>
      <c r="AA233" s="13">
        <f t="shared" si="125"/>
        <v>0</v>
      </c>
    </row>
    <row r="234" spans="3:27" ht="15" customHeight="1" x14ac:dyDescent="0.2">
      <c r="C234" s="10" t="s">
        <v>356</v>
      </c>
      <c r="D234" s="10" t="s">
        <v>357</v>
      </c>
      <c r="E234" s="11">
        <v>40757</v>
      </c>
      <c r="F234" s="11">
        <v>40756</v>
      </c>
      <c r="G234" s="12">
        <v>10</v>
      </c>
      <c r="H234" s="12">
        <v>120</v>
      </c>
      <c r="I234" s="13">
        <v>250</v>
      </c>
      <c r="J234" s="13">
        <v>0</v>
      </c>
      <c r="K234" s="13">
        <f t="shared" si="122"/>
        <v>250</v>
      </c>
      <c r="L234" s="13">
        <v>250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3">
        <f t="shared" si="123"/>
        <v>0</v>
      </c>
      <c r="Z234" s="13">
        <f t="shared" si="124"/>
        <v>250</v>
      </c>
      <c r="AA234" s="13">
        <f t="shared" si="125"/>
        <v>0</v>
      </c>
    </row>
    <row r="235" spans="3:27" ht="15" customHeight="1" x14ac:dyDescent="0.2">
      <c r="C235" s="10" t="s">
        <v>358</v>
      </c>
      <c r="D235" s="10" t="s">
        <v>359</v>
      </c>
      <c r="E235" s="11">
        <v>40757</v>
      </c>
      <c r="F235" s="11">
        <v>40756</v>
      </c>
      <c r="G235" s="12">
        <v>10</v>
      </c>
      <c r="H235" s="12">
        <v>120</v>
      </c>
      <c r="I235" s="13">
        <v>130</v>
      </c>
      <c r="J235" s="13">
        <v>0</v>
      </c>
      <c r="K235" s="13">
        <f t="shared" si="122"/>
        <v>130</v>
      </c>
      <c r="L235" s="13">
        <v>130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3">
        <f t="shared" si="123"/>
        <v>0</v>
      </c>
      <c r="Z235" s="13">
        <f t="shared" si="124"/>
        <v>130</v>
      </c>
      <c r="AA235" s="13">
        <f t="shared" si="125"/>
        <v>0</v>
      </c>
    </row>
    <row r="236" spans="3:27" ht="15" customHeight="1" x14ac:dyDescent="0.2">
      <c r="C236" s="10" t="s">
        <v>360</v>
      </c>
      <c r="D236" s="10" t="s">
        <v>361</v>
      </c>
      <c r="E236" s="11">
        <v>40757</v>
      </c>
      <c r="F236" s="11">
        <v>40756</v>
      </c>
      <c r="G236" s="12">
        <v>10</v>
      </c>
      <c r="H236" s="12">
        <v>120</v>
      </c>
      <c r="I236" s="13">
        <v>8</v>
      </c>
      <c r="J236" s="13">
        <v>0</v>
      </c>
      <c r="K236" s="13">
        <f t="shared" si="122"/>
        <v>8</v>
      </c>
      <c r="L236" s="13">
        <v>8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3">
        <f t="shared" si="123"/>
        <v>0</v>
      </c>
      <c r="Z236" s="13">
        <f t="shared" si="124"/>
        <v>8</v>
      </c>
      <c r="AA236" s="13">
        <f t="shared" si="125"/>
        <v>0</v>
      </c>
    </row>
    <row r="237" spans="3:27" ht="15" customHeight="1" x14ac:dyDescent="0.2">
      <c r="C237" s="10" t="s">
        <v>362</v>
      </c>
      <c r="D237" s="10" t="s">
        <v>363</v>
      </c>
      <c r="E237" s="11">
        <v>40757</v>
      </c>
      <c r="F237" s="11">
        <v>40756</v>
      </c>
      <c r="G237" s="12">
        <v>10</v>
      </c>
      <c r="H237" s="12">
        <v>120</v>
      </c>
      <c r="I237" s="13">
        <v>260</v>
      </c>
      <c r="J237" s="13">
        <v>0</v>
      </c>
      <c r="K237" s="13">
        <f t="shared" si="122"/>
        <v>260</v>
      </c>
      <c r="L237" s="13">
        <v>260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3">
        <f t="shared" si="123"/>
        <v>0</v>
      </c>
      <c r="Z237" s="13">
        <f t="shared" si="124"/>
        <v>260</v>
      </c>
      <c r="AA237" s="13">
        <f t="shared" si="125"/>
        <v>0</v>
      </c>
    </row>
    <row r="238" spans="3:27" ht="15" customHeight="1" x14ac:dyDescent="0.2">
      <c r="C238" s="10" t="s">
        <v>364</v>
      </c>
      <c r="D238" s="10" t="s">
        <v>365</v>
      </c>
      <c r="E238" s="11">
        <v>41128</v>
      </c>
      <c r="F238" s="11">
        <v>41122</v>
      </c>
      <c r="G238" s="12">
        <v>10</v>
      </c>
      <c r="H238" s="12">
        <v>120</v>
      </c>
      <c r="I238" s="13">
        <v>405</v>
      </c>
      <c r="J238" s="13">
        <v>0</v>
      </c>
      <c r="K238" s="13">
        <f t="shared" si="122"/>
        <v>405</v>
      </c>
      <c r="L238" s="13">
        <v>405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3">
        <f t="shared" si="123"/>
        <v>0</v>
      </c>
      <c r="Z238" s="13">
        <f t="shared" si="124"/>
        <v>405</v>
      </c>
      <c r="AA238" s="13">
        <f t="shared" si="125"/>
        <v>0</v>
      </c>
    </row>
    <row r="239" spans="3:27" ht="15" customHeight="1" x14ac:dyDescent="0.2">
      <c r="C239" s="10" t="s">
        <v>366</v>
      </c>
      <c r="D239" s="10" t="s">
        <v>367</v>
      </c>
      <c r="E239" s="11">
        <v>41978</v>
      </c>
      <c r="F239" s="11">
        <v>41974</v>
      </c>
      <c r="G239" s="12">
        <v>10</v>
      </c>
      <c r="H239" s="12">
        <v>120</v>
      </c>
      <c r="I239" s="13">
        <v>883.93</v>
      </c>
      <c r="J239" s="13">
        <v>88.39</v>
      </c>
      <c r="K239" s="13">
        <f t="shared" si="122"/>
        <v>795.54</v>
      </c>
      <c r="L239" s="13">
        <v>795.54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3">
        <f t="shared" si="123"/>
        <v>0</v>
      </c>
      <c r="Z239" s="13">
        <f t="shared" si="124"/>
        <v>795.54</v>
      </c>
      <c r="AA239" s="13">
        <f t="shared" si="125"/>
        <v>88.389999999999986</v>
      </c>
    </row>
    <row r="240" spans="3:27" ht="15" customHeight="1" x14ac:dyDescent="0.2">
      <c r="C240" s="10" t="s">
        <v>368</v>
      </c>
      <c r="D240" s="10" t="s">
        <v>367</v>
      </c>
      <c r="E240" s="11">
        <v>41978</v>
      </c>
      <c r="F240" s="11">
        <v>41974</v>
      </c>
      <c r="G240" s="12">
        <v>10</v>
      </c>
      <c r="H240" s="12">
        <v>120</v>
      </c>
      <c r="I240" s="13">
        <v>883.93</v>
      </c>
      <c r="J240" s="13">
        <v>88.39</v>
      </c>
      <c r="K240" s="13">
        <f t="shared" si="122"/>
        <v>795.54</v>
      </c>
      <c r="L240" s="13">
        <v>795.54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3">
        <f t="shared" si="123"/>
        <v>0</v>
      </c>
      <c r="Z240" s="13">
        <f t="shared" si="124"/>
        <v>795.54</v>
      </c>
      <c r="AA240" s="13">
        <f t="shared" si="125"/>
        <v>88.389999999999986</v>
      </c>
    </row>
    <row r="241" spans="3:27" ht="15" customHeight="1" x14ac:dyDescent="0.2">
      <c r="C241" s="10" t="s">
        <v>369</v>
      </c>
      <c r="D241" s="10" t="s">
        <v>367</v>
      </c>
      <c r="E241" s="11">
        <v>41978</v>
      </c>
      <c r="F241" s="11">
        <v>41974</v>
      </c>
      <c r="G241" s="12">
        <v>10</v>
      </c>
      <c r="H241" s="12">
        <v>120</v>
      </c>
      <c r="I241" s="13">
        <v>883.93</v>
      </c>
      <c r="J241" s="13">
        <v>88.39</v>
      </c>
      <c r="K241" s="13">
        <f t="shared" si="122"/>
        <v>795.54</v>
      </c>
      <c r="L241" s="13">
        <v>795.54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3">
        <f t="shared" si="123"/>
        <v>0</v>
      </c>
      <c r="Z241" s="13">
        <f t="shared" si="124"/>
        <v>795.54</v>
      </c>
      <c r="AA241" s="13">
        <f t="shared" si="125"/>
        <v>88.389999999999986</v>
      </c>
    </row>
    <row r="242" spans="3:27" ht="15" customHeight="1" x14ac:dyDescent="0.2">
      <c r="C242" s="10" t="s">
        <v>370</v>
      </c>
      <c r="D242" s="10" t="s">
        <v>371</v>
      </c>
      <c r="E242" s="11">
        <v>42200</v>
      </c>
      <c r="F242" s="11">
        <v>42217</v>
      </c>
      <c r="G242" s="12">
        <v>10</v>
      </c>
      <c r="H242" s="12">
        <v>120</v>
      </c>
      <c r="I242" s="13">
        <v>35030.980000000003</v>
      </c>
      <c r="J242" s="13">
        <v>3503.1</v>
      </c>
      <c r="K242" s="13">
        <f t="shared" si="122"/>
        <v>31527.880000000005</v>
      </c>
      <c r="L242" s="13">
        <v>29688.76</v>
      </c>
      <c r="M242" s="13">
        <f>+$K242/$H242</f>
        <v>262.73233333333337</v>
      </c>
      <c r="N242" s="13">
        <f t="shared" ref="N242:R242" si="126">+$K242/$H242</f>
        <v>262.73233333333337</v>
      </c>
      <c r="O242" s="13">
        <f t="shared" si="126"/>
        <v>262.73233333333337</v>
      </c>
      <c r="P242" s="13">
        <f t="shared" si="126"/>
        <v>262.73233333333337</v>
      </c>
      <c r="Q242" s="13">
        <f t="shared" si="126"/>
        <v>262.73233333333337</v>
      </c>
      <c r="R242" s="13">
        <f t="shared" si="126"/>
        <v>262.73233333333337</v>
      </c>
      <c r="S242" s="13">
        <v>262.72000000000003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3">
        <f t="shared" si="123"/>
        <v>1839.1140000000003</v>
      </c>
      <c r="Z242" s="13">
        <f t="shared" si="124"/>
        <v>31527.874</v>
      </c>
      <c r="AA242" s="13">
        <f t="shared" si="125"/>
        <v>3503.1060000000034</v>
      </c>
    </row>
    <row r="243" spans="3:27" ht="15" customHeight="1" x14ac:dyDescent="0.2">
      <c r="C243" s="39" t="s">
        <v>37</v>
      </c>
      <c r="D243" s="39"/>
      <c r="E243" s="39"/>
      <c r="F243" s="39"/>
      <c r="G243" s="39"/>
      <c r="H243" s="39"/>
      <c r="I243" s="16">
        <f>SUM(I218:I242)</f>
        <v>49247.340000000004</v>
      </c>
      <c r="J243" s="17">
        <f t="shared" ref="J243:AA243" si="127">SUM(J218:J242)</f>
        <v>3768.27</v>
      </c>
      <c r="K243" s="17">
        <f t="shared" si="127"/>
        <v>45479.070000000007</v>
      </c>
      <c r="L243" s="16">
        <f t="shared" si="127"/>
        <v>43639.95</v>
      </c>
      <c r="M243" s="37">
        <f t="shared" si="127"/>
        <v>262.73233333333337</v>
      </c>
      <c r="N243" s="37">
        <f t="shared" si="127"/>
        <v>262.73233333333337</v>
      </c>
      <c r="O243" s="37">
        <f t="shared" si="127"/>
        <v>262.73233333333337</v>
      </c>
      <c r="P243" s="37">
        <f t="shared" si="127"/>
        <v>262.73233333333337</v>
      </c>
      <c r="Q243" s="37">
        <f t="shared" si="127"/>
        <v>262.73233333333337</v>
      </c>
      <c r="R243" s="17">
        <f t="shared" si="127"/>
        <v>262.73233333333337</v>
      </c>
      <c r="S243" s="17">
        <f t="shared" si="127"/>
        <v>262.72000000000003</v>
      </c>
      <c r="T243" s="17">
        <f t="shared" si="127"/>
        <v>0</v>
      </c>
      <c r="U243" s="17">
        <f t="shared" si="127"/>
        <v>0</v>
      </c>
      <c r="V243" s="17">
        <f t="shared" si="127"/>
        <v>0</v>
      </c>
      <c r="W243" s="17">
        <f t="shared" si="127"/>
        <v>0</v>
      </c>
      <c r="X243" s="17">
        <f t="shared" si="127"/>
        <v>0</v>
      </c>
      <c r="Y243" s="17">
        <f t="shared" si="127"/>
        <v>1839.1140000000003</v>
      </c>
      <c r="Z243" s="17">
        <f t="shared" si="127"/>
        <v>45479.063999999998</v>
      </c>
      <c r="AA243" s="17">
        <f t="shared" si="127"/>
        <v>3768.2760000000035</v>
      </c>
    </row>
    <row r="246" spans="3:27" x14ac:dyDescent="0.2">
      <c r="C246" s="8" t="s">
        <v>372</v>
      </c>
      <c r="D246" s="10"/>
      <c r="E246" s="10"/>
      <c r="F246" s="10"/>
      <c r="G246" s="10"/>
      <c r="H246" s="10"/>
      <c r="I246" s="15"/>
      <c r="J246" s="15"/>
      <c r="K246" s="15"/>
      <c r="L246" s="15"/>
    </row>
    <row r="247" spans="3:27" ht="15" customHeight="1" x14ac:dyDescent="0.2">
      <c r="C247" s="10" t="s">
        <v>373</v>
      </c>
      <c r="D247" s="10" t="s">
        <v>374</v>
      </c>
      <c r="E247" s="11">
        <v>39114</v>
      </c>
      <c r="F247" s="11">
        <v>39114</v>
      </c>
      <c r="G247" s="12">
        <v>10</v>
      </c>
      <c r="H247" s="12">
        <v>120</v>
      </c>
      <c r="I247" s="13">
        <v>3000</v>
      </c>
      <c r="J247" s="13">
        <v>0</v>
      </c>
      <c r="K247" s="13">
        <f>+I247-J247</f>
        <v>3000</v>
      </c>
      <c r="L247" s="13">
        <v>3000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3">
        <f t="shared" ref="Y247" si="128">SUM(M247:X247)</f>
        <v>0</v>
      </c>
      <c r="Z247" s="13">
        <f t="shared" ref="Z247" si="129">+L247+Y247</f>
        <v>3000</v>
      </c>
      <c r="AA247" s="13">
        <f t="shared" ref="AA247" si="130">+I247-Z247</f>
        <v>0</v>
      </c>
    </row>
    <row r="248" spans="3:27" ht="15" customHeight="1" x14ac:dyDescent="0.2">
      <c r="C248" s="10" t="s">
        <v>375</v>
      </c>
      <c r="D248" s="10" t="s">
        <v>376</v>
      </c>
      <c r="E248" s="11">
        <v>39114</v>
      </c>
      <c r="F248" s="11">
        <v>39114</v>
      </c>
      <c r="G248" s="12">
        <v>10</v>
      </c>
      <c r="H248" s="12">
        <v>120</v>
      </c>
      <c r="I248" s="13">
        <v>1500</v>
      </c>
      <c r="J248" s="13">
        <v>0</v>
      </c>
      <c r="K248" s="13">
        <f t="shared" ref="K248:K311" si="131">+I248-J248</f>
        <v>1500</v>
      </c>
      <c r="L248" s="13">
        <v>1500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3">
        <f t="shared" ref="Y248:Y311" si="132">SUM(M248:X248)</f>
        <v>0</v>
      </c>
      <c r="Z248" s="13">
        <f t="shared" ref="Z248:Z311" si="133">+L248+Y248</f>
        <v>1500</v>
      </c>
      <c r="AA248" s="13">
        <f t="shared" ref="AA248:AA311" si="134">+I248-Z248</f>
        <v>0</v>
      </c>
    </row>
    <row r="249" spans="3:27" ht="15" customHeight="1" x14ac:dyDescent="0.2">
      <c r="C249" s="10" t="s">
        <v>377</v>
      </c>
      <c r="D249" s="10" t="s">
        <v>376</v>
      </c>
      <c r="E249" s="11">
        <v>39114</v>
      </c>
      <c r="F249" s="11">
        <v>39114</v>
      </c>
      <c r="G249" s="12">
        <v>10</v>
      </c>
      <c r="H249" s="12">
        <v>120</v>
      </c>
      <c r="I249" s="13">
        <v>3000</v>
      </c>
      <c r="J249" s="13">
        <v>0</v>
      </c>
      <c r="K249" s="13">
        <f t="shared" si="131"/>
        <v>3000</v>
      </c>
      <c r="L249" s="13">
        <v>3000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3">
        <f t="shared" si="132"/>
        <v>0</v>
      </c>
      <c r="Z249" s="13">
        <f t="shared" si="133"/>
        <v>3000</v>
      </c>
      <c r="AA249" s="13">
        <f t="shared" si="134"/>
        <v>0</v>
      </c>
    </row>
    <row r="250" spans="3:27" ht="15" customHeight="1" x14ac:dyDescent="0.2">
      <c r="C250" s="10" t="s">
        <v>378</v>
      </c>
      <c r="D250" s="10" t="s">
        <v>379</v>
      </c>
      <c r="E250" s="11">
        <v>39114</v>
      </c>
      <c r="F250" s="11">
        <v>39114</v>
      </c>
      <c r="G250" s="12">
        <v>10</v>
      </c>
      <c r="H250" s="12">
        <v>120</v>
      </c>
      <c r="I250" s="13">
        <v>2000</v>
      </c>
      <c r="J250" s="13">
        <v>0</v>
      </c>
      <c r="K250" s="13">
        <f t="shared" si="131"/>
        <v>2000</v>
      </c>
      <c r="L250" s="13">
        <v>2000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3">
        <f t="shared" si="132"/>
        <v>0</v>
      </c>
      <c r="Z250" s="13">
        <f t="shared" si="133"/>
        <v>2000</v>
      </c>
      <c r="AA250" s="13">
        <f t="shared" si="134"/>
        <v>0</v>
      </c>
    </row>
    <row r="251" spans="3:27" ht="15" customHeight="1" x14ac:dyDescent="0.2">
      <c r="C251" s="10" t="s">
        <v>380</v>
      </c>
      <c r="D251" s="10" t="s">
        <v>381</v>
      </c>
      <c r="E251" s="11">
        <v>39114</v>
      </c>
      <c r="F251" s="11">
        <v>39114</v>
      </c>
      <c r="G251" s="12">
        <v>10</v>
      </c>
      <c r="H251" s="12">
        <v>120</v>
      </c>
      <c r="I251" s="13">
        <v>2000</v>
      </c>
      <c r="J251" s="13">
        <v>0</v>
      </c>
      <c r="K251" s="13">
        <f t="shared" si="131"/>
        <v>2000</v>
      </c>
      <c r="L251" s="13">
        <v>2000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3">
        <f t="shared" si="132"/>
        <v>0</v>
      </c>
      <c r="Z251" s="13">
        <f t="shared" si="133"/>
        <v>2000</v>
      </c>
      <c r="AA251" s="13">
        <f t="shared" si="134"/>
        <v>0</v>
      </c>
    </row>
    <row r="252" spans="3:27" ht="15" customHeight="1" x14ac:dyDescent="0.2">
      <c r="C252" s="10" t="s">
        <v>382</v>
      </c>
      <c r="D252" s="10" t="s">
        <v>383</v>
      </c>
      <c r="E252" s="11">
        <v>39114</v>
      </c>
      <c r="F252" s="11">
        <v>39114</v>
      </c>
      <c r="G252" s="12">
        <v>10</v>
      </c>
      <c r="H252" s="12">
        <v>120</v>
      </c>
      <c r="I252" s="13">
        <v>1200</v>
      </c>
      <c r="J252" s="13">
        <v>0</v>
      </c>
      <c r="K252" s="13">
        <f t="shared" si="131"/>
        <v>1200</v>
      </c>
      <c r="L252" s="13">
        <v>1200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3">
        <f t="shared" si="132"/>
        <v>0</v>
      </c>
      <c r="Z252" s="13">
        <f t="shared" si="133"/>
        <v>1200</v>
      </c>
      <c r="AA252" s="13">
        <f t="shared" si="134"/>
        <v>0</v>
      </c>
    </row>
    <row r="253" spans="3:27" ht="15" customHeight="1" x14ac:dyDescent="0.2">
      <c r="C253" s="10" t="s">
        <v>384</v>
      </c>
      <c r="D253" s="10" t="s">
        <v>385</v>
      </c>
      <c r="E253" s="11">
        <v>39114</v>
      </c>
      <c r="F253" s="11">
        <v>39114</v>
      </c>
      <c r="G253" s="12">
        <v>10</v>
      </c>
      <c r="H253" s="12">
        <v>120</v>
      </c>
      <c r="I253" s="13">
        <v>45000</v>
      </c>
      <c r="J253" s="13">
        <v>0</v>
      </c>
      <c r="K253" s="13">
        <f t="shared" si="131"/>
        <v>45000</v>
      </c>
      <c r="L253" s="13">
        <v>45000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3">
        <f t="shared" si="132"/>
        <v>0</v>
      </c>
      <c r="Z253" s="13">
        <f t="shared" si="133"/>
        <v>45000</v>
      </c>
      <c r="AA253" s="13">
        <f t="shared" si="134"/>
        <v>0</v>
      </c>
    </row>
    <row r="254" spans="3:27" ht="15" customHeight="1" x14ac:dyDescent="0.2">
      <c r="C254" s="10" t="s">
        <v>386</v>
      </c>
      <c r="D254" s="10" t="s">
        <v>387</v>
      </c>
      <c r="E254" s="11">
        <v>39114</v>
      </c>
      <c r="F254" s="11">
        <v>39114</v>
      </c>
      <c r="G254" s="12">
        <v>10</v>
      </c>
      <c r="H254" s="12">
        <v>120</v>
      </c>
      <c r="I254" s="13">
        <v>25000</v>
      </c>
      <c r="J254" s="13">
        <v>0</v>
      </c>
      <c r="K254" s="13">
        <f t="shared" si="131"/>
        <v>25000</v>
      </c>
      <c r="L254" s="13">
        <v>25000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3">
        <f t="shared" si="132"/>
        <v>0</v>
      </c>
      <c r="Z254" s="13">
        <f t="shared" si="133"/>
        <v>25000</v>
      </c>
      <c r="AA254" s="13">
        <f t="shared" si="134"/>
        <v>0</v>
      </c>
    </row>
    <row r="255" spans="3:27" ht="15" customHeight="1" x14ac:dyDescent="0.2">
      <c r="C255" s="10" t="s">
        <v>388</v>
      </c>
      <c r="D255" s="10" t="s">
        <v>389</v>
      </c>
      <c r="E255" s="11">
        <v>39114</v>
      </c>
      <c r="F255" s="11">
        <v>39114</v>
      </c>
      <c r="G255" s="12">
        <v>10</v>
      </c>
      <c r="H255" s="12">
        <v>120</v>
      </c>
      <c r="I255" s="13">
        <v>1500</v>
      </c>
      <c r="J255" s="13">
        <v>0</v>
      </c>
      <c r="K255" s="13">
        <f t="shared" si="131"/>
        <v>1500</v>
      </c>
      <c r="L255" s="13">
        <v>1500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3">
        <f t="shared" si="132"/>
        <v>0</v>
      </c>
      <c r="Z255" s="13">
        <f t="shared" si="133"/>
        <v>1500</v>
      </c>
      <c r="AA255" s="13">
        <f t="shared" si="134"/>
        <v>0</v>
      </c>
    </row>
    <row r="256" spans="3:27" ht="15" customHeight="1" x14ac:dyDescent="0.2">
      <c r="C256" s="10" t="s">
        <v>390</v>
      </c>
      <c r="D256" s="10" t="s">
        <v>391</v>
      </c>
      <c r="E256" s="11">
        <v>39114</v>
      </c>
      <c r="F256" s="11">
        <v>39114</v>
      </c>
      <c r="G256" s="12">
        <v>10</v>
      </c>
      <c r="H256" s="12">
        <v>120</v>
      </c>
      <c r="I256" s="13">
        <v>2500</v>
      </c>
      <c r="J256" s="13">
        <v>0</v>
      </c>
      <c r="K256" s="13">
        <f t="shared" si="131"/>
        <v>2500</v>
      </c>
      <c r="L256" s="13">
        <v>2500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3">
        <f t="shared" si="132"/>
        <v>0</v>
      </c>
      <c r="Z256" s="13">
        <f t="shared" si="133"/>
        <v>2500</v>
      </c>
      <c r="AA256" s="13">
        <f t="shared" si="134"/>
        <v>0</v>
      </c>
    </row>
    <row r="257" spans="3:27" ht="15" customHeight="1" x14ac:dyDescent="0.2">
      <c r="C257" s="10" t="s">
        <v>392</v>
      </c>
      <c r="D257" s="10" t="s">
        <v>393</v>
      </c>
      <c r="E257" s="11">
        <v>39114</v>
      </c>
      <c r="F257" s="11">
        <v>39114</v>
      </c>
      <c r="G257" s="12">
        <v>10</v>
      </c>
      <c r="H257" s="12">
        <v>120</v>
      </c>
      <c r="I257" s="13">
        <v>40000</v>
      </c>
      <c r="J257" s="13">
        <v>0</v>
      </c>
      <c r="K257" s="13">
        <f t="shared" si="131"/>
        <v>40000</v>
      </c>
      <c r="L257" s="13">
        <v>40000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3">
        <f t="shared" si="132"/>
        <v>0</v>
      </c>
      <c r="Z257" s="13">
        <f t="shared" si="133"/>
        <v>40000</v>
      </c>
      <c r="AA257" s="13">
        <f t="shared" si="134"/>
        <v>0</v>
      </c>
    </row>
    <row r="258" spans="3:27" ht="15" customHeight="1" x14ac:dyDescent="0.2">
      <c r="C258" s="10" t="s">
        <v>394</v>
      </c>
      <c r="D258" s="10" t="s">
        <v>395</v>
      </c>
      <c r="E258" s="11">
        <v>39114</v>
      </c>
      <c r="F258" s="11">
        <v>39114</v>
      </c>
      <c r="G258" s="12">
        <v>10</v>
      </c>
      <c r="H258" s="12">
        <v>120</v>
      </c>
      <c r="I258" s="13">
        <v>1800</v>
      </c>
      <c r="J258" s="13">
        <v>0</v>
      </c>
      <c r="K258" s="13">
        <f t="shared" si="131"/>
        <v>1800</v>
      </c>
      <c r="L258" s="13">
        <v>1800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3">
        <f t="shared" si="132"/>
        <v>0</v>
      </c>
      <c r="Z258" s="13">
        <f t="shared" si="133"/>
        <v>1800</v>
      </c>
      <c r="AA258" s="13">
        <f t="shared" si="134"/>
        <v>0</v>
      </c>
    </row>
    <row r="259" spans="3:27" ht="15" customHeight="1" x14ac:dyDescent="0.2">
      <c r="C259" s="10" t="s">
        <v>396</v>
      </c>
      <c r="D259" s="10" t="s">
        <v>397</v>
      </c>
      <c r="E259" s="11">
        <v>39114</v>
      </c>
      <c r="F259" s="11">
        <v>39114</v>
      </c>
      <c r="G259" s="12">
        <v>10</v>
      </c>
      <c r="H259" s="12">
        <v>120</v>
      </c>
      <c r="I259" s="13">
        <v>35000</v>
      </c>
      <c r="J259" s="13">
        <v>0</v>
      </c>
      <c r="K259" s="13">
        <f t="shared" si="131"/>
        <v>35000</v>
      </c>
      <c r="L259" s="13">
        <v>35000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3">
        <f t="shared" si="132"/>
        <v>0</v>
      </c>
      <c r="Z259" s="13">
        <f t="shared" si="133"/>
        <v>35000</v>
      </c>
      <c r="AA259" s="13">
        <f t="shared" si="134"/>
        <v>0</v>
      </c>
    </row>
    <row r="260" spans="3:27" ht="15" customHeight="1" x14ac:dyDescent="0.2">
      <c r="C260" s="10" t="s">
        <v>398</v>
      </c>
      <c r="D260" s="10" t="s">
        <v>399</v>
      </c>
      <c r="E260" s="11">
        <v>39114</v>
      </c>
      <c r="F260" s="11">
        <v>39114</v>
      </c>
      <c r="G260" s="12">
        <v>10</v>
      </c>
      <c r="H260" s="12">
        <v>120</v>
      </c>
      <c r="I260" s="13">
        <v>2800</v>
      </c>
      <c r="J260" s="13">
        <v>0</v>
      </c>
      <c r="K260" s="13">
        <f t="shared" si="131"/>
        <v>2800</v>
      </c>
      <c r="L260" s="13">
        <v>2800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3">
        <f t="shared" si="132"/>
        <v>0</v>
      </c>
      <c r="Z260" s="13">
        <f t="shared" si="133"/>
        <v>2800</v>
      </c>
      <c r="AA260" s="13">
        <f t="shared" si="134"/>
        <v>0</v>
      </c>
    </row>
    <row r="261" spans="3:27" ht="15" customHeight="1" x14ac:dyDescent="0.2">
      <c r="C261" s="10" t="s">
        <v>400</v>
      </c>
      <c r="D261" s="10" t="s">
        <v>401</v>
      </c>
      <c r="E261" s="11">
        <v>39114</v>
      </c>
      <c r="F261" s="11">
        <v>39114</v>
      </c>
      <c r="G261" s="12">
        <v>10</v>
      </c>
      <c r="H261" s="12">
        <v>120</v>
      </c>
      <c r="I261" s="13">
        <v>24000</v>
      </c>
      <c r="J261" s="13">
        <v>0</v>
      </c>
      <c r="K261" s="13">
        <f t="shared" si="131"/>
        <v>24000</v>
      </c>
      <c r="L261" s="13">
        <v>24000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3">
        <f t="shared" si="132"/>
        <v>0</v>
      </c>
      <c r="Z261" s="13">
        <f t="shared" si="133"/>
        <v>24000</v>
      </c>
      <c r="AA261" s="13">
        <f t="shared" si="134"/>
        <v>0</v>
      </c>
    </row>
    <row r="262" spans="3:27" ht="15" customHeight="1" x14ac:dyDescent="0.2">
      <c r="C262" s="10" t="s">
        <v>402</v>
      </c>
      <c r="D262" s="10" t="s">
        <v>403</v>
      </c>
      <c r="E262" s="11">
        <v>39114</v>
      </c>
      <c r="F262" s="11">
        <v>39114</v>
      </c>
      <c r="G262" s="12">
        <v>10</v>
      </c>
      <c r="H262" s="12">
        <v>120</v>
      </c>
      <c r="I262" s="13">
        <v>1300</v>
      </c>
      <c r="J262" s="13">
        <v>0</v>
      </c>
      <c r="K262" s="13">
        <f t="shared" si="131"/>
        <v>1300</v>
      </c>
      <c r="L262" s="13">
        <v>1300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3">
        <f t="shared" si="132"/>
        <v>0</v>
      </c>
      <c r="Z262" s="13">
        <f t="shared" si="133"/>
        <v>1300</v>
      </c>
      <c r="AA262" s="13">
        <f t="shared" si="134"/>
        <v>0</v>
      </c>
    </row>
    <row r="263" spans="3:27" ht="15" customHeight="1" x14ac:dyDescent="0.2">
      <c r="C263" s="10" t="s">
        <v>404</v>
      </c>
      <c r="D263" s="10" t="s">
        <v>405</v>
      </c>
      <c r="E263" s="11">
        <v>39114</v>
      </c>
      <c r="F263" s="11">
        <v>39114</v>
      </c>
      <c r="G263" s="12">
        <v>10</v>
      </c>
      <c r="H263" s="12">
        <v>120</v>
      </c>
      <c r="I263" s="13">
        <v>1820</v>
      </c>
      <c r="J263" s="13">
        <v>0</v>
      </c>
      <c r="K263" s="13">
        <f t="shared" si="131"/>
        <v>1820</v>
      </c>
      <c r="L263" s="13">
        <v>1820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3">
        <f t="shared" si="132"/>
        <v>0</v>
      </c>
      <c r="Z263" s="13">
        <f t="shared" si="133"/>
        <v>1820</v>
      </c>
      <c r="AA263" s="13">
        <f t="shared" si="134"/>
        <v>0</v>
      </c>
    </row>
    <row r="264" spans="3:27" ht="15" customHeight="1" x14ac:dyDescent="0.2">
      <c r="C264" s="10" t="s">
        <v>406</v>
      </c>
      <c r="D264" s="10" t="s">
        <v>407</v>
      </c>
      <c r="E264" s="11">
        <v>39114</v>
      </c>
      <c r="F264" s="11">
        <v>39114</v>
      </c>
      <c r="G264" s="12">
        <v>10</v>
      </c>
      <c r="H264" s="12">
        <v>120</v>
      </c>
      <c r="I264" s="13">
        <v>4000</v>
      </c>
      <c r="J264" s="13">
        <v>0</v>
      </c>
      <c r="K264" s="13">
        <f t="shared" si="131"/>
        <v>4000</v>
      </c>
      <c r="L264" s="13">
        <v>4000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3">
        <f t="shared" si="132"/>
        <v>0</v>
      </c>
      <c r="Z264" s="13">
        <f t="shared" si="133"/>
        <v>4000</v>
      </c>
      <c r="AA264" s="13">
        <f t="shared" si="134"/>
        <v>0</v>
      </c>
    </row>
    <row r="265" spans="3:27" ht="15" customHeight="1" x14ac:dyDescent="0.2">
      <c r="C265" s="10" t="s">
        <v>408</v>
      </c>
      <c r="D265" s="10" t="s">
        <v>409</v>
      </c>
      <c r="E265" s="11">
        <v>39114</v>
      </c>
      <c r="F265" s="11">
        <v>39114</v>
      </c>
      <c r="G265" s="12">
        <v>10</v>
      </c>
      <c r="H265" s="12">
        <v>120</v>
      </c>
      <c r="I265" s="13">
        <v>15000</v>
      </c>
      <c r="J265" s="13">
        <v>0</v>
      </c>
      <c r="K265" s="13">
        <f t="shared" si="131"/>
        <v>15000</v>
      </c>
      <c r="L265" s="13">
        <v>15000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3">
        <f t="shared" si="132"/>
        <v>0</v>
      </c>
      <c r="Z265" s="13">
        <f t="shared" si="133"/>
        <v>15000</v>
      </c>
      <c r="AA265" s="13">
        <f t="shared" si="134"/>
        <v>0</v>
      </c>
    </row>
    <row r="266" spans="3:27" ht="15" customHeight="1" x14ac:dyDescent="0.2">
      <c r="C266" s="10" t="s">
        <v>410</v>
      </c>
      <c r="D266" s="10" t="s">
        <v>411</v>
      </c>
      <c r="E266" s="11">
        <v>39114</v>
      </c>
      <c r="F266" s="11">
        <v>39114</v>
      </c>
      <c r="G266" s="12">
        <v>10</v>
      </c>
      <c r="H266" s="12">
        <v>120</v>
      </c>
      <c r="I266" s="13">
        <v>5000</v>
      </c>
      <c r="J266" s="13">
        <v>0</v>
      </c>
      <c r="K266" s="13">
        <f t="shared" si="131"/>
        <v>5000</v>
      </c>
      <c r="L266" s="13">
        <v>5000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3">
        <f t="shared" si="132"/>
        <v>0</v>
      </c>
      <c r="Z266" s="13">
        <f t="shared" si="133"/>
        <v>5000</v>
      </c>
      <c r="AA266" s="13">
        <f t="shared" si="134"/>
        <v>0</v>
      </c>
    </row>
    <row r="267" spans="3:27" ht="15" customHeight="1" x14ac:dyDescent="0.2">
      <c r="C267" s="10" t="s">
        <v>412</v>
      </c>
      <c r="D267" s="10" t="s">
        <v>413</v>
      </c>
      <c r="E267" s="11">
        <v>39114</v>
      </c>
      <c r="F267" s="11">
        <v>39114</v>
      </c>
      <c r="G267" s="12">
        <v>10</v>
      </c>
      <c r="H267" s="12">
        <v>120</v>
      </c>
      <c r="I267" s="13">
        <v>3500</v>
      </c>
      <c r="J267" s="13">
        <v>0</v>
      </c>
      <c r="K267" s="13">
        <f t="shared" si="131"/>
        <v>3500</v>
      </c>
      <c r="L267" s="13">
        <v>3500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3">
        <f t="shared" si="132"/>
        <v>0</v>
      </c>
      <c r="Z267" s="13">
        <f t="shared" si="133"/>
        <v>3500</v>
      </c>
      <c r="AA267" s="13">
        <f t="shared" si="134"/>
        <v>0</v>
      </c>
    </row>
    <row r="268" spans="3:27" ht="15" customHeight="1" x14ac:dyDescent="0.2">
      <c r="C268" s="10" t="s">
        <v>414</v>
      </c>
      <c r="D268" s="10" t="s">
        <v>415</v>
      </c>
      <c r="E268" s="11">
        <v>39114</v>
      </c>
      <c r="F268" s="11">
        <v>39114</v>
      </c>
      <c r="G268" s="12">
        <v>10</v>
      </c>
      <c r="H268" s="12">
        <v>120</v>
      </c>
      <c r="I268" s="13">
        <v>4000</v>
      </c>
      <c r="J268" s="13">
        <v>0</v>
      </c>
      <c r="K268" s="13">
        <f t="shared" si="131"/>
        <v>4000</v>
      </c>
      <c r="L268" s="13">
        <v>4000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3">
        <f t="shared" si="132"/>
        <v>0</v>
      </c>
      <c r="Z268" s="13">
        <f t="shared" si="133"/>
        <v>4000</v>
      </c>
      <c r="AA268" s="13">
        <f t="shared" si="134"/>
        <v>0</v>
      </c>
    </row>
    <row r="269" spans="3:27" ht="15" customHeight="1" x14ac:dyDescent="0.2">
      <c r="C269" s="10" t="s">
        <v>416</v>
      </c>
      <c r="D269" s="10" t="s">
        <v>417</v>
      </c>
      <c r="E269" s="11">
        <v>39114</v>
      </c>
      <c r="F269" s="11">
        <v>39114</v>
      </c>
      <c r="G269" s="12">
        <v>10</v>
      </c>
      <c r="H269" s="12">
        <v>120</v>
      </c>
      <c r="I269" s="13">
        <v>25000</v>
      </c>
      <c r="J269" s="13">
        <v>0</v>
      </c>
      <c r="K269" s="13">
        <f t="shared" si="131"/>
        <v>25000</v>
      </c>
      <c r="L269" s="13">
        <v>25000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3">
        <f t="shared" si="132"/>
        <v>0</v>
      </c>
      <c r="Z269" s="13">
        <f t="shared" si="133"/>
        <v>25000</v>
      </c>
      <c r="AA269" s="13">
        <f t="shared" si="134"/>
        <v>0</v>
      </c>
    </row>
    <row r="270" spans="3:27" ht="15" customHeight="1" x14ac:dyDescent="0.2">
      <c r="C270" s="10" t="s">
        <v>418</v>
      </c>
      <c r="D270" s="10" t="s">
        <v>419</v>
      </c>
      <c r="E270" s="11">
        <v>39114</v>
      </c>
      <c r="F270" s="11">
        <v>39114</v>
      </c>
      <c r="G270" s="12">
        <v>10</v>
      </c>
      <c r="H270" s="12">
        <v>120</v>
      </c>
      <c r="I270" s="13">
        <v>20000</v>
      </c>
      <c r="J270" s="13">
        <v>0</v>
      </c>
      <c r="K270" s="13">
        <f t="shared" si="131"/>
        <v>20000</v>
      </c>
      <c r="L270" s="13">
        <v>20000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3">
        <f t="shared" si="132"/>
        <v>0</v>
      </c>
      <c r="Z270" s="13">
        <f t="shared" si="133"/>
        <v>20000</v>
      </c>
      <c r="AA270" s="13">
        <f t="shared" si="134"/>
        <v>0</v>
      </c>
    </row>
    <row r="271" spans="3:27" ht="15" customHeight="1" x14ac:dyDescent="0.2">
      <c r="C271" s="10" t="s">
        <v>420</v>
      </c>
      <c r="D271" s="10" t="s">
        <v>421</v>
      </c>
      <c r="E271" s="11">
        <v>39114</v>
      </c>
      <c r="F271" s="11">
        <v>39114</v>
      </c>
      <c r="G271" s="12">
        <v>10</v>
      </c>
      <c r="H271" s="12">
        <v>120</v>
      </c>
      <c r="I271" s="13">
        <v>2000</v>
      </c>
      <c r="J271" s="13">
        <v>0</v>
      </c>
      <c r="K271" s="13">
        <f t="shared" si="131"/>
        <v>2000</v>
      </c>
      <c r="L271" s="13">
        <v>2000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3">
        <f t="shared" si="132"/>
        <v>0</v>
      </c>
      <c r="Z271" s="13">
        <f t="shared" si="133"/>
        <v>2000</v>
      </c>
      <c r="AA271" s="13">
        <f t="shared" si="134"/>
        <v>0</v>
      </c>
    </row>
    <row r="272" spans="3:27" ht="15" customHeight="1" x14ac:dyDescent="0.2">
      <c r="C272" s="10" t="s">
        <v>422</v>
      </c>
      <c r="D272" s="10" t="s">
        <v>423</v>
      </c>
      <c r="E272" s="11">
        <v>39475</v>
      </c>
      <c r="F272" s="11">
        <v>39479</v>
      </c>
      <c r="G272" s="12">
        <v>10</v>
      </c>
      <c r="H272" s="12">
        <v>120</v>
      </c>
      <c r="I272" s="13">
        <v>1821.45</v>
      </c>
      <c r="J272" s="13">
        <v>0</v>
      </c>
      <c r="K272" s="13">
        <f t="shared" si="131"/>
        <v>1821.45</v>
      </c>
      <c r="L272" s="13">
        <v>1821.45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3">
        <f t="shared" si="132"/>
        <v>0</v>
      </c>
      <c r="Z272" s="13">
        <f t="shared" si="133"/>
        <v>1821.45</v>
      </c>
      <c r="AA272" s="13">
        <f t="shared" si="134"/>
        <v>0</v>
      </c>
    </row>
    <row r="273" spans="3:27" ht="15" customHeight="1" x14ac:dyDescent="0.2">
      <c r="C273" s="10" t="s">
        <v>424</v>
      </c>
      <c r="D273" s="10" t="s">
        <v>423</v>
      </c>
      <c r="E273" s="11">
        <v>39476</v>
      </c>
      <c r="F273" s="11">
        <v>39479</v>
      </c>
      <c r="G273" s="12">
        <v>10</v>
      </c>
      <c r="H273" s="12">
        <v>120</v>
      </c>
      <c r="I273" s="13">
        <v>1705.38</v>
      </c>
      <c r="J273" s="13">
        <v>0</v>
      </c>
      <c r="K273" s="13">
        <f t="shared" si="131"/>
        <v>1705.38</v>
      </c>
      <c r="L273" s="13">
        <v>1705.38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3">
        <f t="shared" si="132"/>
        <v>0</v>
      </c>
      <c r="Z273" s="13">
        <f t="shared" si="133"/>
        <v>1705.38</v>
      </c>
      <c r="AA273" s="13">
        <f t="shared" si="134"/>
        <v>0</v>
      </c>
    </row>
    <row r="274" spans="3:27" ht="15" customHeight="1" x14ac:dyDescent="0.2">
      <c r="C274" s="10" t="s">
        <v>425</v>
      </c>
      <c r="D274" s="10" t="s">
        <v>426</v>
      </c>
      <c r="E274" s="11">
        <v>39493</v>
      </c>
      <c r="F274" s="11">
        <v>39508</v>
      </c>
      <c r="G274" s="12">
        <v>10</v>
      </c>
      <c r="H274" s="12">
        <v>120</v>
      </c>
      <c r="I274" s="13">
        <v>6950</v>
      </c>
      <c r="J274" s="13">
        <v>0</v>
      </c>
      <c r="K274" s="13">
        <f t="shared" si="131"/>
        <v>6950</v>
      </c>
      <c r="L274" s="13">
        <v>6950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3">
        <f t="shared" si="132"/>
        <v>0</v>
      </c>
      <c r="Z274" s="13">
        <f t="shared" si="133"/>
        <v>6950</v>
      </c>
      <c r="AA274" s="13">
        <f t="shared" si="134"/>
        <v>0</v>
      </c>
    </row>
    <row r="275" spans="3:27" ht="15" customHeight="1" x14ac:dyDescent="0.2">
      <c r="C275" s="10" t="s">
        <v>427</v>
      </c>
      <c r="D275" s="10" t="s">
        <v>428</v>
      </c>
      <c r="E275" s="11">
        <v>39521</v>
      </c>
      <c r="F275" s="11">
        <v>39539</v>
      </c>
      <c r="G275" s="12">
        <v>10</v>
      </c>
      <c r="H275" s="12">
        <v>120</v>
      </c>
      <c r="I275" s="13">
        <v>2266</v>
      </c>
      <c r="J275" s="13">
        <v>0</v>
      </c>
      <c r="K275" s="13">
        <f t="shared" si="131"/>
        <v>2266</v>
      </c>
      <c r="L275" s="13">
        <v>2266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3">
        <f t="shared" si="132"/>
        <v>0</v>
      </c>
      <c r="Z275" s="13">
        <f t="shared" si="133"/>
        <v>2266</v>
      </c>
      <c r="AA275" s="13">
        <f t="shared" si="134"/>
        <v>0</v>
      </c>
    </row>
    <row r="276" spans="3:27" ht="15" customHeight="1" x14ac:dyDescent="0.2">
      <c r="C276" s="10" t="s">
        <v>429</v>
      </c>
      <c r="D276" s="10" t="s">
        <v>430</v>
      </c>
      <c r="E276" s="11">
        <v>39524</v>
      </c>
      <c r="F276" s="11">
        <v>39539</v>
      </c>
      <c r="G276" s="12">
        <v>10</v>
      </c>
      <c r="H276" s="12">
        <v>120</v>
      </c>
      <c r="I276" s="13">
        <v>10000</v>
      </c>
      <c r="J276" s="13">
        <v>0</v>
      </c>
      <c r="K276" s="13">
        <f t="shared" si="131"/>
        <v>10000</v>
      </c>
      <c r="L276" s="13">
        <v>10000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3">
        <f t="shared" si="132"/>
        <v>0</v>
      </c>
      <c r="Z276" s="13">
        <f t="shared" si="133"/>
        <v>10000</v>
      </c>
      <c r="AA276" s="13">
        <f t="shared" si="134"/>
        <v>0</v>
      </c>
    </row>
    <row r="277" spans="3:27" ht="15" customHeight="1" x14ac:dyDescent="0.2">
      <c r="C277" s="10" t="s">
        <v>431</v>
      </c>
      <c r="D277" s="10" t="s">
        <v>432</v>
      </c>
      <c r="E277" s="11">
        <v>39764</v>
      </c>
      <c r="F277" s="11">
        <v>39783</v>
      </c>
      <c r="G277" s="12">
        <v>10</v>
      </c>
      <c r="H277" s="12">
        <v>120</v>
      </c>
      <c r="I277" s="13">
        <v>19850</v>
      </c>
      <c r="J277" s="13">
        <v>0</v>
      </c>
      <c r="K277" s="13">
        <f t="shared" si="131"/>
        <v>19850</v>
      </c>
      <c r="L277" s="13">
        <v>19850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3">
        <f t="shared" si="132"/>
        <v>0</v>
      </c>
      <c r="Z277" s="13">
        <f t="shared" si="133"/>
        <v>19850</v>
      </c>
      <c r="AA277" s="13">
        <f t="shared" si="134"/>
        <v>0</v>
      </c>
    </row>
    <row r="278" spans="3:27" ht="15" customHeight="1" x14ac:dyDescent="0.2">
      <c r="C278" s="10" t="s">
        <v>433</v>
      </c>
      <c r="D278" s="10" t="s">
        <v>434</v>
      </c>
      <c r="E278" s="11">
        <v>39790</v>
      </c>
      <c r="F278" s="11">
        <v>39814</v>
      </c>
      <c r="G278" s="12">
        <v>10</v>
      </c>
      <c r="H278" s="12">
        <v>120</v>
      </c>
      <c r="I278" s="13">
        <v>3000</v>
      </c>
      <c r="J278" s="13">
        <v>0</v>
      </c>
      <c r="K278" s="13">
        <f t="shared" si="131"/>
        <v>3000</v>
      </c>
      <c r="L278" s="13">
        <v>3000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9">
        <v>0</v>
      </c>
      <c r="W278" s="19">
        <v>0</v>
      </c>
      <c r="X278" s="19">
        <v>0</v>
      </c>
      <c r="Y278" s="13">
        <f t="shared" si="132"/>
        <v>0</v>
      </c>
      <c r="Z278" s="13">
        <f t="shared" si="133"/>
        <v>3000</v>
      </c>
      <c r="AA278" s="13">
        <f t="shared" si="134"/>
        <v>0</v>
      </c>
    </row>
    <row r="279" spans="3:27" ht="15" customHeight="1" x14ac:dyDescent="0.2">
      <c r="C279" s="10" t="s">
        <v>435</v>
      </c>
      <c r="D279" s="10" t="s">
        <v>436</v>
      </c>
      <c r="E279" s="11">
        <v>39856</v>
      </c>
      <c r="F279" s="11">
        <v>39873</v>
      </c>
      <c r="G279" s="12">
        <v>10</v>
      </c>
      <c r="H279" s="12">
        <v>120</v>
      </c>
      <c r="I279" s="13">
        <v>3622</v>
      </c>
      <c r="J279" s="13">
        <v>0</v>
      </c>
      <c r="K279" s="13">
        <f t="shared" si="131"/>
        <v>3622</v>
      </c>
      <c r="L279" s="13">
        <v>3622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13">
        <f t="shared" si="132"/>
        <v>0</v>
      </c>
      <c r="Z279" s="13">
        <f t="shared" si="133"/>
        <v>3622</v>
      </c>
      <c r="AA279" s="13">
        <f t="shared" si="134"/>
        <v>0</v>
      </c>
    </row>
    <row r="280" spans="3:27" ht="15" customHeight="1" x14ac:dyDescent="0.2">
      <c r="C280" s="10" t="s">
        <v>437</v>
      </c>
      <c r="D280" s="10" t="s">
        <v>438</v>
      </c>
      <c r="E280" s="11">
        <v>39967</v>
      </c>
      <c r="F280" s="11">
        <v>39965</v>
      </c>
      <c r="G280" s="12">
        <v>10</v>
      </c>
      <c r="H280" s="12">
        <v>120</v>
      </c>
      <c r="I280" s="13">
        <v>1948.66</v>
      </c>
      <c r="J280" s="13">
        <v>0</v>
      </c>
      <c r="K280" s="13">
        <f t="shared" si="131"/>
        <v>1948.66</v>
      </c>
      <c r="L280" s="13">
        <v>1948.66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3">
        <f t="shared" si="132"/>
        <v>0</v>
      </c>
      <c r="Z280" s="13">
        <f t="shared" si="133"/>
        <v>1948.66</v>
      </c>
      <c r="AA280" s="13">
        <f t="shared" si="134"/>
        <v>0</v>
      </c>
    </row>
    <row r="281" spans="3:27" ht="15" customHeight="1" x14ac:dyDescent="0.2">
      <c r="C281" s="10" t="s">
        <v>439</v>
      </c>
      <c r="D281" s="10" t="s">
        <v>440</v>
      </c>
      <c r="E281" s="11">
        <v>39990</v>
      </c>
      <c r="F281" s="11">
        <v>39995</v>
      </c>
      <c r="G281" s="12">
        <v>10</v>
      </c>
      <c r="H281" s="12">
        <v>120</v>
      </c>
      <c r="I281" s="13">
        <v>4000</v>
      </c>
      <c r="J281" s="13">
        <v>0</v>
      </c>
      <c r="K281" s="13">
        <f t="shared" si="131"/>
        <v>4000</v>
      </c>
      <c r="L281" s="13">
        <v>4000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3">
        <f t="shared" si="132"/>
        <v>0</v>
      </c>
      <c r="Z281" s="13">
        <f t="shared" si="133"/>
        <v>4000</v>
      </c>
      <c r="AA281" s="13">
        <f t="shared" si="134"/>
        <v>0</v>
      </c>
    </row>
    <row r="282" spans="3:27" ht="15" customHeight="1" x14ac:dyDescent="0.2">
      <c r="C282" s="10" t="s">
        <v>441</v>
      </c>
      <c r="D282" s="10" t="s">
        <v>442</v>
      </c>
      <c r="E282" s="11">
        <v>39994</v>
      </c>
      <c r="F282" s="11">
        <v>39995</v>
      </c>
      <c r="G282" s="12">
        <v>10</v>
      </c>
      <c r="H282" s="12">
        <v>120</v>
      </c>
      <c r="I282" s="13">
        <v>4394.51</v>
      </c>
      <c r="J282" s="13">
        <v>0</v>
      </c>
      <c r="K282" s="13">
        <f t="shared" si="131"/>
        <v>4394.51</v>
      </c>
      <c r="L282" s="13">
        <v>4394.51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3">
        <f t="shared" si="132"/>
        <v>0</v>
      </c>
      <c r="Z282" s="13">
        <f t="shared" si="133"/>
        <v>4394.51</v>
      </c>
      <c r="AA282" s="13">
        <f t="shared" si="134"/>
        <v>0</v>
      </c>
    </row>
    <row r="283" spans="3:27" ht="15" customHeight="1" x14ac:dyDescent="0.2">
      <c r="C283" s="10" t="s">
        <v>443</v>
      </c>
      <c r="D283" s="10" t="s">
        <v>444</v>
      </c>
      <c r="E283" s="11">
        <v>39994</v>
      </c>
      <c r="F283" s="11">
        <v>39995</v>
      </c>
      <c r="G283" s="12">
        <v>10</v>
      </c>
      <c r="H283" s="12">
        <v>120</v>
      </c>
      <c r="I283" s="13">
        <v>13500</v>
      </c>
      <c r="J283" s="13">
        <v>0</v>
      </c>
      <c r="K283" s="13">
        <f t="shared" si="131"/>
        <v>13500</v>
      </c>
      <c r="L283" s="13">
        <v>13500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3">
        <f t="shared" si="132"/>
        <v>0</v>
      </c>
      <c r="Z283" s="13">
        <f t="shared" si="133"/>
        <v>13500</v>
      </c>
      <c r="AA283" s="13">
        <f t="shared" si="134"/>
        <v>0</v>
      </c>
    </row>
    <row r="284" spans="3:27" ht="15" customHeight="1" x14ac:dyDescent="0.2">
      <c r="C284" s="10" t="s">
        <v>445</v>
      </c>
      <c r="D284" s="10" t="s">
        <v>446</v>
      </c>
      <c r="E284" s="11">
        <v>40018</v>
      </c>
      <c r="F284" s="11">
        <v>40026</v>
      </c>
      <c r="G284" s="12">
        <v>10</v>
      </c>
      <c r="H284" s="12">
        <v>120</v>
      </c>
      <c r="I284" s="13">
        <v>4464.29</v>
      </c>
      <c r="J284" s="13">
        <v>0</v>
      </c>
      <c r="K284" s="13">
        <f t="shared" si="131"/>
        <v>4464.29</v>
      </c>
      <c r="L284" s="13">
        <v>4464.29</v>
      </c>
      <c r="M284" s="19">
        <v>0</v>
      </c>
      <c r="N284" s="19">
        <v>0</v>
      </c>
      <c r="O284" s="19">
        <v>0</v>
      </c>
      <c r="P284" s="19">
        <v>0</v>
      </c>
      <c r="Q284" s="19">
        <v>0</v>
      </c>
      <c r="R284" s="19">
        <v>0</v>
      </c>
      <c r="S284" s="19">
        <v>0</v>
      </c>
      <c r="T284" s="19">
        <v>0</v>
      </c>
      <c r="U284" s="19">
        <v>0</v>
      </c>
      <c r="V284" s="19">
        <v>0</v>
      </c>
      <c r="W284" s="19">
        <v>0</v>
      </c>
      <c r="X284" s="19">
        <v>0</v>
      </c>
      <c r="Y284" s="13">
        <f t="shared" si="132"/>
        <v>0</v>
      </c>
      <c r="Z284" s="13">
        <f t="shared" si="133"/>
        <v>4464.29</v>
      </c>
      <c r="AA284" s="13">
        <f t="shared" si="134"/>
        <v>0</v>
      </c>
    </row>
    <row r="285" spans="3:27" ht="15" customHeight="1" x14ac:dyDescent="0.2">
      <c r="C285" s="10" t="s">
        <v>447</v>
      </c>
      <c r="D285" s="10" t="s">
        <v>448</v>
      </c>
      <c r="E285" s="11">
        <v>40072</v>
      </c>
      <c r="F285" s="11">
        <v>40087</v>
      </c>
      <c r="G285" s="12">
        <v>10</v>
      </c>
      <c r="H285" s="12">
        <v>120</v>
      </c>
      <c r="I285" s="13">
        <v>3942.86</v>
      </c>
      <c r="J285" s="13">
        <v>0</v>
      </c>
      <c r="K285" s="13">
        <f t="shared" si="131"/>
        <v>3942.86</v>
      </c>
      <c r="L285" s="13">
        <v>3942.86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9">
        <v>0</v>
      </c>
      <c r="W285" s="19">
        <v>0</v>
      </c>
      <c r="X285" s="19">
        <v>0</v>
      </c>
      <c r="Y285" s="13">
        <f t="shared" si="132"/>
        <v>0</v>
      </c>
      <c r="Z285" s="13">
        <f t="shared" si="133"/>
        <v>3942.86</v>
      </c>
      <c r="AA285" s="13">
        <f t="shared" si="134"/>
        <v>0</v>
      </c>
    </row>
    <row r="286" spans="3:27" ht="15" customHeight="1" x14ac:dyDescent="0.2">
      <c r="C286" s="10" t="s">
        <v>449</v>
      </c>
      <c r="D286" s="10" t="s">
        <v>450</v>
      </c>
      <c r="E286" s="11">
        <v>40109</v>
      </c>
      <c r="F286" s="11">
        <v>40118</v>
      </c>
      <c r="G286" s="12">
        <v>10</v>
      </c>
      <c r="H286" s="12">
        <v>120</v>
      </c>
      <c r="I286" s="13">
        <v>8928.57</v>
      </c>
      <c r="J286" s="13">
        <v>0</v>
      </c>
      <c r="K286" s="13">
        <f t="shared" si="131"/>
        <v>8928.57</v>
      </c>
      <c r="L286" s="13">
        <v>8928.57</v>
      </c>
      <c r="M286" s="19">
        <v>0</v>
      </c>
      <c r="N286" s="19">
        <v>0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9">
        <v>0</v>
      </c>
      <c r="W286" s="19">
        <v>0</v>
      </c>
      <c r="X286" s="19">
        <v>0</v>
      </c>
      <c r="Y286" s="13">
        <f t="shared" si="132"/>
        <v>0</v>
      </c>
      <c r="Z286" s="13">
        <f t="shared" si="133"/>
        <v>8928.57</v>
      </c>
      <c r="AA286" s="13">
        <f t="shared" si="134"/>
        <v>0</v>
      </c>
    </row>
    <row r="287" spans="3:27" ht="15" customHeight="1" x14ac:dyDescent="0.2">
      <c r="C287" s="10" t="s">
        <v>451</v>
      </c>
      <c r="D287" s="10" t="s">
        <v>452</v>
      </c>
      <c r="E287" s="11">
        <v>40182</v>
      </c>
      <c r="F287" s="11">
        <v>40179</v>
      </c>
      <c r="G287" s="12">
        <v>10</v>
      </c>
      <c r="H287" s="12">
        <v>120</v>
      </c>
      <c r="I287" s="13">
        <v>5747.5</v>
      </c>
      <c r="J287" s="13">
        <v>0</v>
      </c>
      <c r="K287" s="13">
        <f t="shared" si="131"/>
        <v>5747.5</v>
      </c>
      <c r="L287" s="13">
        <v>5747.5</v>
      </c>
      <c r="M287" s="19">
        <v>0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  <c r="U287" s="19">
        <v>0</v>
      </c>
      <c r="V287" s="19">
        <v>0</v>
      </c>
      <c r="W287" s="19">
        <v>0</v>
      </c>
      <c r="X287" s="19">
        <v>0</v>
      </c>
      <c r="Y287" s="13">
        <f t="shared" si="132"/>
        <v>0</v>
      </c>
      <c r="Z287" s="13">
        <f t="shared" si="133"/>
        <v>5747.5</v>
      </c>
      <c r="AA287" s="13">
        <f t="shared" si="134"/>
        <v>0</v>
      </c>
    </row>
    <row r="288" spans="3:27" ht="15" customHeight="1" x14ac:dyDescent="0.2">
      <c r="C288" s="10" t="s">
        <v>453</v>
      </c>
      <c r="D288" s="10" t="s">
        <v>454</v>
      </c>
      <c r="E288" s="11">
        <v>40217</v>
      </c>
      <c r="F288" s="11">
        <v>40238</v>
      </c>
      <c r="G288" s="12">
        <v>10</v>
      </c>
      <c r="H288" s="12">
        <v>120</v>
      </c>
      <c r="I288" s="13">
        <v>3845.51</v>
      </c>
      <c r="J288" s="13">
        <v>0</v>
      </c>
      <c r="K288" s="13">
        <f t="shared" si="131"/>
        <v>3845.51</v>
      </c>
      <c r="L288" s="13">
        <v>3845.51</v>
      </c>
      <c r="M288" s="19">
        <v>0</v>
      </c>
      <c r="N288" s="19">
        <v>0</v>
      </c>
      <c r="O288" s="19">
        <v>0</v>
      </c>
      <c r="P288" s="19">
        <v>0</v>
      </c>
      <c r="Q288" s="19">
        <v>0</v>
      </c>
      <c r="R288" s="19">
        <v>0</v>
      </c>
      <c r="S288" s="19">
        <v>0</v>
      </c>
      <c r="T288" s="19">
        <v>0</v>
      </c>
      <c r="U288" s="19">
        <v>0</v>
      </c>
      <c r="V288" s="19">
        <v>0</v>
      </c>
      <c r="W288" s="19">
        <v>0</v>
      </c>
      <c r="X288" s="19">
        <v>0</v>
      </c>
      <c r="Y288" s="13">
        <f t="shared" si="132"/>
        <v>0</v>
      </c>
      <c r="Z288" s="13">
        <f t="shared" si="133"/>
        <v>3845.51</v>
      </c>
      <c r="AA288" s="13">
        <f t="shared" si="134"/>
        <v>0</v>
      </c>
    </row>
    <row r="289" spans="3:27" ht="15" customHeight="1" x14ac:dyDescent="0.2">
      <c r="C289" s="10" t="s">
        <v>455</v>
      </c>
      <c r="D289" s="10" t="s">
        <v>456</v>
      </c>
      <c r="E289" s="11">
        <v>40269</v>
      </c>
      <c r="F289" s="11">
        <v>40269</v>
      </c>
      <c r="G289" s="12">
        <v>10</v>
      </c>
      <c r="H289" s="12">
        <v>120</v>
      </c>
      <c r="I289" s="13">
        <v>1556.13</v>
      </c>
      <c r="J289" s="13">
        <v>0</v>
      </c>
      <c r="K289" s="13">
        <f t="shared" si="131"/>
        <v>1556.13</v>
      </c>
      <c r="L289" s="13">
        <v>1556.13</v>
      </c>
      <c r="M289" s="19">
        <v>0</v>
      </c>
      <c r="N289" s="19">
        <v>0</v>
      </c>
      <c r="O289" s="19">
        <v>0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  <c r="V289" s="19">
        <v>0</v>
      </c>
      <c r="W289" s="19">
        <v>0</v>
      </c>
      <c r="X289" s="19">
        <v>0</v>
      </c>
      <c r="Y289" s="13">
        <f t="shared" si="132"/>
        <v>0</v>
      </c>
      <c r="Z289" s="13">
        <f t="shared" si="133"/>
        <v>1556.13</v>
      </c>
      <c r="AA289" s="13">
        <f t="shared" si="134"/>
        <v>0</v>
      </c>
    </row>
    <row r="290" spans="3:27" ht="15" customHeight="1" x14ac:dyDescent="0.2">
      <c r="C290" s="10" t="s">
        <v>457</v>
      </c>
      <c r="D290" s="10" t="s">
        <v>458</v>
      </c>
      <c r="E290" s="11">
        <v>40280</v>
      </c>
      <c r="F290" s="11">
        <v>40299</v>
      </c>
      <c r="G290" s="12">
        <v>10</v>
      </c>
      <c r="H290" s="12">
        <v>120</v>
      </c>
      <c r="I290" s="13">
        <v>3478.86</v>
      </c>
      <c r="J290" s="13">
        <v>0</v>
      </c>
      <c r="K290" s="13">
        <f t="shared" si="131"/>
        <v>3478.86</v>
      </c>
      <c r="L290" s="13">
        <v>3478.86</v>
      </c>
      <c r="M290" s="19">
        <v>0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  <c r="T290" s="19">
        <v>0</v>
      </c>
      <c r="U290" s="19">
        <v>0</v>
      </c>
      <c r="V290" s="19">
        <v>0</v>
      </c>
      <c r="W290" s="19">
        <v>0</v>
      </c>
      <c r="X290" s="19">
        <v>0</v>
      </c>
      <c r="Y290" s="13">
        <f t="shared" si="132"/>
        <v>0</v>
      </c>
      <c r="Z290" s="13">
        <f t="shared" si="133"/>
        <v>3478.86</v>
      </c>
      <c r="AA290" s="13">
        <f t="shared" si="134"/>
        <v>0</v>
      </c>
    </row>
    <row r="291" spans="3:27" ht="15" customHeight="1" x14ac:dyDescent="0.2">
      <c r="C291" s="10" t="s">
        <v>459</v>
      </c>
      <c r="D291" s="10" t="s">
        <v>460</v>
      </c>
      <c r="E291" s="11">
        <v>40348</v>
      </c>
      <c r="F291" s="11">
        <v>40360</v>
      </c>
      <c r="G291" s="12">
        <v>10</v>
      </c>
      <c r="H291" s="12">
        <v>120</v>
      </c>
      <c r="I291" s="13">
        <v>11774</v>
      </c>
      <c r="J291" s="13">
        <v>0</v>
      </c>
      <c r="K291" s="13">
        <f t="shared" si="131"/>
        <v>11774</v>
      </c>
      <c r="L291" s="13">
        <v>11774</v>
      </c>
      <c r="M291" s="19">
        <v>0</v>
      </c>
      <c r="N291" s="19">
        <v>0</v>
      </c>
      <c r="O291" s="19">
        <v>0</v>
      </c>
      <c r="P291" s="19">
        <v>0</v>
      </c>
      <c r="Q291" s="19">
        <v>0</v>
      </c>
      <c r="R291" s="19">
        <v>0</v>
      </c>
      <c r="S291" s="19">
        <v>0</v>
      </c>
      <c r="T291" s="19">
        <v>0</v>
      </c>
      <c r="U291" s="19">
        <v>0</v>
      </c>
      <c r="V291" s="19">
        <v>0</v>
      </c>
      <c r="W291" s="19">
        <v>0</v>
      </c>
      <c r="X291" s="19">
        <v>0</v>
      </c>
      <c r="Y291" s="13">
        <f t="shared" si="132"/>
        <v>0</v>
      </c>
      <c r="Z291" s="13">
        <f t="shared" si="133"/>
        <v>11774</v>
      </c>
      <c r="AA291" s="13">
        <f t="shared" si="134"/>
        <v>0</v>
      </c>
    </row>
    <row r="292" spans="3:27" ht="15" customHeight="1" x14ac:dyDescent="0.2">
      <c r="C292" s="10" t="s">
        <v>461</v>
      </c>
      <c r="D292" s="10" t="s">
        <v>462</v>
      </c>
      <c r="E292" s="11">
        <v>40378</v>
      </c>
      <c r="F292" s="11">
        <v>40391</v>
      </c>
      <c r="G292" s="12">
        <v>10</v>
      </c>
      <c r="H292" s="12">
        <v>120</v>
      </c>
      <c r="I292" s="13">
        <v>14017.86</v>
      </c>
      <c r="J292" s="13">
        <v>0</v>
      </c>
      <c r="K292" s="13">
        <f t="shared" si="131"/>
        <v>14017.86</v>
      </c>
      <c r="L292" s="13">
        <v>14017.86</v>
      </c>
      <c r="M292" s="19">
        <v>0</v>
      </c>
      <c r="N292" s="19">
        <v>0</v>
      </c>
      <c r="O292" s="19">
        <v>0</v>
      </c>
      <c r="P292" s="19">
        <v>0</v>
      </c>
      <c r="Q292" s="19">
        <v>0</v>
      </c>
      <c r="R292" s="19">
        <v>0</v>
      </c>
      <c r="S292" s="19">
        <v>0</v>
      </c>
      <c r="T292" s="19">
        <v>0</v>
      </c>
      <c r="U292" s="19">
        <v>0</v>
      </c>
      <c r="V292" s="19">
        <v>0</v>
      </c>
      <c r="W292" s="19">
        <v>0</v>
      </c>
      <c r="X292" s="19">
        <v>0</v>
      </c>
      <c r="Y292" s="13">
        <f t="shared" si="132"/>
        <v>0</v>
      </c>
      <c r="Z292" s="13">
        <f t="shared" si="133"/>
        <v>14017.86</v>
      </c>
      <c r="AA292" s="13">
        <f t="shared" si="134"/>
        <v>0</v>
      </c>
    </row>
    <row r="293" spans="3:27" ht="15" customHeight="1" x14ac:dyDescent="0.2">
      <c r="C293" s="10" t="s">
        <v>463</v>
      </c>
      <c r="D293" s="10" t="s">
        <v>464</v>
      </c>
      <c r="E293" s="11">
        <v>40388</v>
      </c>
      <c r="F293" s="11">
        <v>40391</v>
      </c>
      <c r="G293" s="12">
        <v>10</v>
      </c>
      <c r="H293" s="12">
        <v>120</v>
      </c>
      <c r="I293" s="13">
        <v>16006.04</v>
      </c>
      <c r="J293" s="13">
        <v>0</v>
      </c>
      <c r="K293" s="13">
        <f t="shared" si="131"/>
        <v>16006.04</v>
      </c>
      <c r="L293" s="13">
        <v>16006.04</v>
      </c>
      <c r="M293" s="19">
        <v>0</v>
      </c>
      <c r="N293" s="19">
        <v>0</v>
      </c>
      <c r="O293" s="19">
        <v>0</v>
      </c>
      <c r="P293" s="19">
        <v>0</v>
      </c>
      <c r="Q293" s="19">
        <v>0</v>
      </c>
      <c r="R293" s="19">
        <v>0</v>
      </c>
      <c r="S293" s="19">
        <v>0</v>
      </c>
      <c r="T293" s="19">
        <v>0</v>
      </c>
      <c r="U293" s="19">
        <v>0</v>
      </c>
      <c r="V293" s="19">
        <v>0</v>
      </c>
      <c r="W293" s="19">
        <v>0</v>
      </c>
      <c r="X293" s="19">
        <v>0</v>
      </c>
      <c r="Y293" s="13">
        <f t="shared" si="132"/>
        <v>0</v>
      </c>
      <c r="Z293" s="13">
        <f t="shared" si="133"/>
        <v>16006.04</v>
      </c>
      <c r="AA293" s="13">
        <f t="shared" si="134"/>
        <v>0</v>
      </c>
    </row>
    <row r="294" spans="3:27" ht="15" customHeight="1" x14ac:dyDescent="0.2">
      <c r="C294" s="10" t="s">
        <v>465</v>
      </c>
      <c r="D294" s="10" t="s">
        <v>466</v>
      </c>
      <c r="E294" s="11">
        <v>40389</v>
      </c>
      <c r="F294" s="11">
        <v>40391</v>
      </c>
      <c r="G294" s="12">
        <v>10</v>
      </c>
      <c r="H294" s="12">
        <v>120</v>
      </c>
      <c r="I294" s="13">
        <v>18981.21</v>
      </c>
      <c r="J294" s="13">
        <v>0</v>
      </c>
      <c r="K294" s="13">
        <f t="shared" si="131"/>
        <v>18981.21</v>
      </c>
      <c r="L294" s="13">
        <v>18981.21</v>
      </c>
      <c r="M294" s="19">
        <v>0</v>
      </c>
      <c r="N294" s="19">
        <v>0</v>
      </c>
      <c r="O294" s="19">
        <v>0</v>
      </c>
      <c r="P294" s="19">
        <v>0</v>
      </c>
      <c r="Q294" s="19">
        <v>0</v>
      </c>
      <c r="R294" s="19">
        <v>0</v>
      </c>
      <c r="S294" s="19">
        <v>0</v>
      </c>
      <c r="T294" s="19">
        <v>0</v>
      </c>
      <c r="U294" s="19">
        <v>0</v>
      </c>
      <c r="V294" s="19">
        <v>0</v>
      </c>
      <c r="W294" s="19">
        <v>0</v>
      </c>
      <c r="X294" s="19">
        <v>0</v>
      </c>
      <c r="Y294" s="13">
        <f t="shared" si="132"/>
        <v>0</v>
      </c>
      <c r="Z294" s="13">
        <f t="shared" si="133"/>
        <v>18981.21</v>
      </c>
      <c r="AA294" s="13">
        <f t="shared" si="134"/>
        <v>0</v>
      </c>
    </row>
    <row r="295" spans="3:27" ht="15" customHeight="1" x14ac:dyDescent="0.2">
      <c r="C295" s="10" t="s">
        <v>321</v>
      </c>
      <c r="D295" s="10" t="s">
        <v>467</v>
      </c>
      <c r="E295" s="11">
        <v>40420</v>
      </c>
      <c r="F295" s="11">
        <v>40422</v>
      </c>
      <c r="G295" s="12">
        <v>7</v>
      </c>
      <c r="H295" s="12">
        <v>120</v>
      </c>
      <c r="I295" s="13">
        <v>140178.57</v>
      </c>
      <c r="J295" s="13">
        <v>0</v>
      </c>
      <c r="K295" s="13">
        <f t="shared" si="131"/>
        <v>140178.57</v>
      </c>
      <c r="L295" s="13">
        <v>140178.57</v>
      </c>
      <c r="M295" s="19">
        <v>0</v>
      </c>
      <c r="N295" s="19">
        <v>0</v>
      </c>
      <c r="O295" s="19">
        <v>0</v>
      </c>
      <c r="P295" s="19">
        <v>0</v>
      </c>
      <c r="Q295" s="19">
        <v>0</v>
      </c>
      <c r="R295" s="19">
        <v>0</v>
      </c>
      <c r="S295" s="19">
        <v>0</v>
      </c>
      <c r="T295" s="19">
        <v>0</v>
      </c>
      <c r="U295" s="19">
        <v>0</v>
      </c>
      <c r="V295" s="19">
        <v>0</v>
      </c>
      <c r="W295" s="19">
        <v>0</v>
      </c>
      <c r="X295" s="19">
        <v>0</v>
      </c>
      <c r="Y295" s="13">
        <f t="shared" si="132"/>
        <v>0</v>
      </c>
      <c r="Z295" s="13">
        <f t="shared" si="133"/>
        <v>140178.57</v>
      </c>
      <c r="AA295" s="13">
        <f t="shared" si="134"/>
        <v>0</v>
      </c>
    </row>
    <row r="296" spans="3:27" ht="15" customHeight="1" x14ac:dyDescent="0.2">
      <c r="C296" s="10" t="s">
        <v>468</v>
      </c>
      <c r="D296" s="10" t="s">
        <v>469</v>
      </c>
      <c r="E296" s="11">
        <v>40434</v>
      </c>
      <c r="F296" s="11">
        <v>40452</v>
      </c>
      <c r="G296" s="12">
        <v>10</v>
      </c>
      <c r="H296" s="12">
        <v>120</v>
      </c>
      <c r="I296" s="13">
        <v>10267.86</v>
      </c>
      <c r="J296" s="13">
        <v>0</v>
      </c>
      <c r="K296" s="13">
        <f t="shared" si="131"/>
        <v>10267.86</v>
      </c>
      <c r="L296" s="13">
        <v>10267.86</v>
      </c>
      <c r="M296" s="19">
        <v>0</v>
      </c>
      <c r="N296" s="19">
        <v>0</v>
      </c>
      <c r="O296" s="19">
        <v>0</v>
      </c>
      <c r="P296" s="19">
        <v>0</v>
      </c>
      <c r="Q296" s="19">
        <v>0</v>
      </c>
      <c r="R296" s="19">
        <v>0</v>
      </c>
      <c r="S296" s="19">
        <v>0</v>
      </c>
      <c r="T296" s="19">
        <v>0</v>
      </c>
      <c r="U296" s="19">
        <v>0</v>
      </c>
      <c r="V296" s="19">
        <v>0</v>
      </c>
      <c r="W296" s="19">
        <v>0</v>
      </c>
      <c r="X296" s="19">
        <v>0</v>
      </c>
      <c r="Y296" s="13">
        <f t="shared" si="132"/>
        <v>0</v>
      </c>
      <c r="Z296" s="13">
        <f t="shared" si="133"/>
        <v>10267.86</v>
      </c>
      <c r="AA296" s="13">
        <f t="shared" si="134"/>
        <v>0</v>
      </c>
    </row>
    <row r="297" spans="3:27" ht="15" customHeight="1" x14ac:dyDescent="0.2">
      <c r="C297" s="10" t="s">
        <v>470</v>
      </c>
      <c r="D297" s="10" t="s">
        <v>471</v>
      </c>
      <c r="E297" s="11">
        <v>40441</v>
      </c>
      <c r="F297" s="11">
        <v>40452</v>
      </c>
      <c r="G297" s="12">
        <v>10</v>
      </c>
      <c r="H297" s="12">
        <v>120</v>
      </c>
      <c r="I297" s="13">
        <v>2351.25</v>
      </c>
      <c r="J297" s="13">
        <v>0</v>
      </c>
      <c r="K297" s="13">
        <f t="shared" si="131"/>
        <v>2351.25</v>
      </c>
      <c r="L297" s="13">
        <v>2351.25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9">
        <v>0</v>
      </c>
      <c r="V297" s="19">
        <v>0</v>
      </c>
      <c r="W297" s="19">
        <v>0</v>
      </c>
      <c r="X297" s="19">
        <v>0</v>
      </c>
      <c r="Y297" s="13">
        <f t="shared" si="132"/>
        <v>0</v>
      </c>
      <c r="Z297" s="13">
        <f t="shared" si="133"/>
        <v>2351.25</v>
      </c>
      <c r="AA297" s="13">
        <f t="shared" si="134"/>
        <v>0</v>
      </c>
    </row>
    <row r="298" spans="3:27" ht="15" customHeight="1" x14ac:dyDescent="0.2">
      <c r="C298" s="10" t="s">
        <v>472</v>
      </c>
      <c r="D298" s="10" t="s">
        <v>473</v>
      </c>
      <c r="E298" s="11">
        <v>40441</v>
      </c>
      <c r="F298" s="11">
        <v>40452</v>
      </c>
      <c r="G298" s="12">
        <v>10</v>
      </c>
      <c r="H298" s="12">
        <v>120</v>
      </c>
      <c r="I298" s="13">
        <v>133928.57</v>
      </c>
      <c r="J298" s="13">
        <v>0</v>
      </c>
      <c r="K298" s="13">
        <f t="shared" si="131"/>
        <v>133928.57</v>
      </c>
      <c r="L298" s="13">
        <v>133928.57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0</v>
      </c>
      <c r="V298" s="19">
        <v>0</v>
      </c>
      <c r="W298" s="19">
        <v>0</v>
      </c>
      <c r="X298" s="19">
        <v>0</v>
      </c>
      <c r="Y298" s="13">
        <f t="shared" si="132"/>
        <v>0</v>
      </c>
      <c r="Z298" s="13">
        <f t="shared" si="133"/>
        <v>133928.57</v>
      </c>
      <c r="AA298" s="13">
        <f t="shared" si="134"/>
        <v>0</v>
      </c>
    </row>
    <row r="299" spans="3:27" ht="15" customHeight="1" x14ac:dyDescent="0.2">
      <c r="C299" s="10" t="s">
        <v>474</v>
      </c>
      <c r="D299" s="10" t="s">
        <v>475</v>
      </c>
      <c r="E299" s="11">
        <v>40452</v>
      </c>
      <c r="F299" s="11">
        <v>40179</v>
      </c>
      <c r="G299" s="12">
        <v>10</v>
      </c>
      <c r="H299" s="12">
        <v>120</v>
      </c>
      <c r="I299" s="13">
        <v>7278.14</v>
      </c>
      <c r="J299" s="13">
        <v>0</v>
      </c>
      <c r="K299" s="13">
        <f t="shared" si="131"/>
        <v>7278.14</v>
      </c>
      <c r="L299" s="13">
        <v>7278.14</v>
      </c>
      <c r="M299" s="19">
        <v>0</v>
      </c>
      <c r="N299" s="19">
        <v>0</v>
      </c>
      <c r="O299" s="19">
        <v>0</v>
      </c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9">
        <v>0</v>
      </c>
      <c r="V299" s="19">
        <v>0</v>
      </c>
      <c r="W299" s="19">
        <v>0</v>
      </c>
      <c r="X299" s="19">
        <v>0</v>
      </c>
      <c r="Y299" s="13">
        <f t="shared" si="132"/>
        <v>0</v>
      </c>
      <c r="Z299" s="13">
        <f t="shared" si="133"/>
        <v>7278.14</v>
      </c>
      <c r="AA299" s="13">
        <f t="shared" si="134"/>
        <v>0</v>
      </c>
    </row>
    <row r="300" spans="3:27" ht="15" customHeight="1" x14ac:dyDescent="0.2">
      <c r="C300" s="10" t="s">
        <v>476</v>
      </c>
      <c r="D300" s="10" t="s">
        <v>454</v>
      </c>
      <c r="E300" s="11">
        <v>40453</v>
      </c>
      <c r="F300" s="11">
        <v>40452</v>
      </c>
      <c r="G300" s="12">
        <v>10</v>
      </c>
      <c r="H300" s="12">
        <v>120</v>
      </c>
      <c r="I300" s="13">
        <v>3263.6</v>
      </c>
      <c r="J300" s="13">
        <v>0</v>
      </c>
      <c r="K300" s="13">
        <f t="shared" si="131"/>
        <v>3263.6</v>
      </c>
      <c r="L300" s="13">
        <v>3263.6</v>
      </c>
      <c r="M300" s="19">
        <v>0</v>
      </c>
      <c r="N300" s="19">
        <v>0</v>
      </c>
      <c r="O300" s="19">
        <v>0</v>
      </c>
      <c r="P300" s="19">
        <v>0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V300" s="19">
        <v>0</v>
      </c>
      <c r="W300" s="19">
        <v>0</v>
      </c>
      <c r="X300" s="19">
        <v>0</v>
      </c>
      <c r="Y300" s="13">
        <f t="shared" si="132"/>
        <v>0</v>
      </c>
      <c r="Z300" s="13">
        <f t="shared" si="133"/>
        <v>3263.6</v>
      </c>
      <c r="AA300" s="13">
        <f t="shared" si="134"/>
        <v>0</v>
      </c>
    </row>
    <row r="301" spans="3:27" ht="15" customHeight="1" x14ac:dyDescent="0.2">
      <c r="C301" s="10" t="s">
        <v>477</v>
      </c>
      <c r="D301" s="10" t="s">
        <v>478</v>
      </c>
      <c r="E301" s="11">
        <v>40494</v>
      </c>
      <c r="F301" s="11">
        <v>40513</v>
      </c>
      <c r="G301" s="12">
        <v>10</v>
      </c>
      <c r="H301" s="12">
        <v>120</v>
      </c>
      <c r="I301" s="13">
        <v>2985</v>
      </c>
      <c r="J301" s="13">
        <v>0</v>
      </c>
      <c r="K301" s="13">
        <f t="shared" si="131"/>
        <v>2985</v>
      </c>
      <c r="L301" s="13">
        <v>2985</v>
      </c>
      <c r="M301" s="19">
        <v>0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0</v>
      </c>
      <c r="Y301" s="13">
        <f t="shared" si="132"/>
        <v>0</v>
      </c>
      <c r="Z301" s="13">
        <f t="shared" si="133"/>
        <v>2985</v>
      </c>
      <c r="AA301" s="13">
        <f t="shared" si="134"/>
        <v>0</v>
      </c>
    </row>
    <row r="302" spans="3:27" ht="15" customHeight="1" x14ac:dyDescent="0.2">
      <c r="C302" s="10" t="s">
        <v>479</v>
      </c>
      <c r="D302" s="10" t="s">
        <v>480</v>
      </c>
      <c r="E302" s="11">
        <v>40542</v>
      </c>
      <c r="F302" s="11">
        <v>40544</v>
      </c>
      <c r="G302" s="12">
        <v>10</v>
      </c>
      <c r="H302" s="12">
        <v>120</v>
      </c>
      <c r="I302" s="13">
        <v>30000</v>
      </c>
      <c r="J302" s="13">
        <v>0</v>
      </c>
      <c r="K302" s="13">
        <f t="shared" si="131"/>
        <v>30000</v>
      </c>
      <c r="L302" s="13">
        <v>30000</v>
      </c>
      <c r="M302" s="19">
        <v>0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0</v>
      </c>
      <c r="Y302" s="13">
        <f t="shared" si="132"/>
        <v>0</v>
      </c>
      <c r="Z302" s="13">
        <f t="shared" si="133"/>
        <v>30000</v>
      </c>
      <c r="AA302" s="13">
        <f t="shared" si="134"/>
        <v>0</v>
      </c>
    </row>
    <row r="303" spans="3:27" ht="15" customHeight="1" x14ac:dyDescent="0.2">
      <c r="C303" s="10" t="s">
        <v>481</v>
      </c>
      <c r="D303" s="10" t="s">
        <v>482</v>
      </c>
      <c r="E303" s="11">
        <v>40677</v>
      </c>
      <c r="F303" s="11">
        <v>40695</v>
      </c>
      <c r="G303" s="12">
        <v>10</v>
      </c>
      <c r="H303" s="12">
        <v>120</v>
      </c>
      <c r="I303" s="13">
        <v>7110.27</v>
      </c>
      <c r="J303" s="13">
        <v>0</v>
      </c>
      <c r="K303" s="13">
        <f t="shared" si="131"/>
        <v>7110.27</v>
      </c>
      <c r="L303" s="13">
        <v>7110.27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9">
        <v>0</v>
      </c>
      <c r="W303" s="19">
        <v>0</v>
      </c>
      <c r="X303" s="19">
        <v>0</v>
      </c>
      <c r="Y303" s="13">
        <f t="shared" si="132"/>
        <v>0</v>
      </c>
      <c r="Z303" s="13">
        <f t="shared" si="133"/>
        <v>7110.27</v>
      </c>
      <c r="AA303" s="13">
        <f t="shared" si="134"/>
        <v>0</v>
      </c>
    </row>
    <row r="304" spans="3:27" ht="15" customHeight="1" x14ac:dyDescent="0.2">
      <c r="C304" s="10" t="s">
        <v>483</v>
      </c>
      <c r="D304" s="10" t="s">
        <v>484</v>
      </c>
      <c r="E304" s="11">
        <v>40753</v>
      </c>
      <c r="F304" s="11">
        <v>40756</v>
      </c>
      <c r="G304" s="12">
        <v>10</v>
      </c>
      <c r="H304" s="12">
        <v>120</v>
      </c>
      <c r="I304" s="13">
        <v>1953.6</v>
      </c>
      <c r="J304" s="13">
        <v>0</v>
      </c>
      <c r="K304" s="13">
        <f t="shared" si="131"/>
        <v>1953.6</v>
      </c>
      <c r="L304" s="13">
        <v>1953.6</v>
      </c>
      <c r="M304" s="19">
        <v>0</v>
      </c>
      <c r="N304" s="19">
        <v>0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 s="13">
        <f t="shared" si="132"/>
        <v>0</v>
      </c>
      <c r="Z304" s="13">
        <f t="shared" si="133"/>
        <v>1953.6</v>
      </c>
      <c r="AA304" s="13">
        <f t="shared" si="134"/>
        <v>0</v>
      </c>
    </row>
    <row r="305" spans="3:27" ht="15" customHeight="1" x14ac:dyDescent="0.2">
      <c r="C305" s="10" t="s">
        <v>485</v>
      </c>
      <c r="D305" s="10" t="s">
        <v>486</v>
      </c>
      <c r="E305" s="11">
        <v>40817</v>
      </c>
      <c r="F305" s="11">
        <v>40817</v>
      </c>
      <c r="G305" s="12">
        <v>10</v>
      </c>
      <c r="H305" s="12">
        <v>120</v>
      </c>
      <c r="I305" s="13">
        <v>2819.99</v>
      </c>
      <c r="J305" s="13">
        <v>0</v>
      </c>
      <c r="K305" s="13">
        <f t="shared" si="131"/>
        <v>2819.99</v>
      </c>
      <c r="L305" s="13">
        <v>2819.99</v>
      </c>
      <c r="M305" s="19">
        <v>0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 s="13">
        <f t="shared" si="132"/>
        <v>0</v>
      </c>
      <c r="Z305" s="13">
        <f t="shared" si="133"/>
        <v>2819.99</v>
      </c>
      <c r="AA305" s="13">
        <f t="shared" si="134"/>
        <v>0</v>
      </c>
    </row>
    <row r="306" spans="3:27" ht="15" customHeight="1" x14ac:dyDescent="0.2">
      <c r="C306" s="10" t="s">
        <v>487</v>
      </c>
      <c r="D306" s="10" t="s">
        <v>488</v>
      </c>
      <c r="E306" s="11">
        <v>40848</v>
      </c>
      <c r="F306" s="11">
        <v>40848</v>
      </c>
      <c r="G306" s="12">
        <v>10</v>
      </c>
      <c r="H306" s="12">
        <v>120</v>
      </c>
      <c r="I306" s="13">
        <v>2596.37</v>
      </c>
      <c r="J306" s="13">
        <v>0</v>
      </c>
      <c r="K306" s="13">
        <f t="shared" si="131"/>
        <v>2596.37</v>
      </c>
      <c r="L306" s="13">
        <v>2596.37</v>
      </c>
      <c r="M306" s="19">
        <v>0</v>
      </c>
      <c r="N306" s="19">
        <v>0</v>
      </c>
      <c r="O306" s="19">
        <v>0</v>
      </c>
      <c r="P306" s="19">
        <v>0</v>
      </c>
      <c r="Q306" s="19">
        <v>0</v>
      </c>
      <c r="R306" s="19">
        <v>0</v>
      </c>
      <c r="S306" s="19">
        <v>0</v>
      </c>
      <c r="T306" s="19">
        <v>0</v>
      </c>
      <c r="U306" s="19">
        <v>0</v>
      </c>
      <c r="V306" s="19">
        <v>0</v>
      </c>
      <c r="W306" s="19">
        <v>0</v>
      </c>
      <c r="X306" s="19">
        <v>0</v>
      </c>
      <c r="Y306" s="13">
        <f t="shared" si="132"/>
        <v>0</v>
      </c>
      <c r="Z306" s="13">
        <f t="shared" si="133"/>
        <v>2596.37</v>
      </c>
      <c r="AA306" s="13">
        <f t="shared" si="134"/>
        <v>0</v>
      </c>
    </row>
    <row r="307" spans="3:27" ht="15" customHeight="1" x14ac:dyDescent="0.2">
      <c r="C307" s="10" t="s">
        <v>489</v>
      </c>
      <c r="D307" s="10" t="s">
        <v>490</v>
      </c>
      <c r="E307" s="11">
        <v>40946</v>
      </c>
      <c r="F307" s="11">
        <v>40940</v>
      </c>
      <c r="G307" s="12">
        <v>10</v>
      </c>
      <c r="H307" s="12">
        <v>120</v>
      </c>
      <c r="I307" s="13">
        <v>1780</v>
      </c>
      <c r="J307" s="13">
        <v>0</v>
      </c>
      <c r="K307" s="13">
        <f t="shared" si="131"/>
        <v>1780</v>
      </c>
      <c r="L307" s="13">
        <v>1780</v>
      </c>
      <c r="M307" s="19">
        <v>0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19">
        <v>0</v>
      </c>
      <c r="Y307" s="13">
        <f t="shared" si="132"/>
        <v>0</v>
      </c>
      <c r="Z307" s="13">
        <f t="shared" si="133"/>
        <v>1780</v>
      </c>
      <c r="AA307" s="13">
        <f t="shared" si="134"/>
        <v>0</v>
      </c>
    </row>
    <row r="308" spans="3:27" ht="15" customHeight="1" x14ac:dyDescent="0.2">
      <c r="C308" s="10" t="s">
        <v>491</v>
      </c>
      <c r="D308" s="10" t="s">
        <v>492</v>
      </c>
      <c r="E308" s="11">
        <v>40947</v>
      </c>
      <c r="F308" s="11">
        <v>40940</v>
      </c>
      <c r="G308" s="12">
        <v>10</v>
      </c>
      <c r="H308" s="12">
        <v>120</v>
      </c>
      <c r="I308" s="13">
        <v>1390.15</v>
      </c>
      <c r="J308" s="13">
        <v>0</v>
      </c>
      <c r="K308" s="13">
        <f t="shared" si="131"/>
        <v>1390.15</v>
      </c>
      <c r="L308" s="13">
        <v>1390.15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3">
        <f t="shared" si="132"/>
        <v>0</v>
      </c>
      <c r="Z308" s="13">
        <f t="shared" si="133"/>
        <v>1390.15</v>
      </c>
      <c r="AA308" s="13">
        <f t="shared" si="134"/>
        <v>0</v>
      </c>
    </row>
    <row r="309" spans="3:27" ht="15" customHeight="1" x14ac:dyDescent="0.2">
      <c r="C309" s="10" t="s">
        <v>493</v>
      </c>
      <c r="D309" s="10" t="s">
        <v>494</v>
      </c>
      <c r="E309" s="11">
        <v>41082</v>
      </c>
      <c r="F309" s="11">
        <v>41091</v>
      </c>
      <c r="G309" s="12">
        <v>10</v>
      </c>
      <c r="H309" s="12">
        <v>120</v>
      </c>
      <c r="I309" s="13">
        <v>504.04</v>
      </c>
      <c r="J309" s="13">
        <v>0</v>
      </c>
      <c r="K309" s="13">
        <f t="shared" si="131"/>
        <v>504.04</v>
      </c>
      <c r="L309" s="13">
        <v>504.04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  <c r="V309" s="19">
        <v>0</v>
      </c>
      <c r="W309" s="19">
        <v>0</v>
      </c>
      <c r="X309" s="19">
        <v>0</v>
      </c>
      <c r="Y309" s="13">
        <f t="shared" si="132"/>
        <v>0</v>
      </c>
      <c r="Z309" s="13">
        <f t="shared" si="133"/>
        <v>504.04</v>
      </c>
      <c r="AA309" s="13">
        <f t="shared" si="134"/>
        <v>0</v>
      </c>
    </row>
    <row r="310" spans="3:27" ht="15" customHeight="1" x14ac:dyDescent="0.2">
      <c r="C310" s="10" t="s">
        <v>495</v>
      </c>
      <c r="D310" s="10" t="s">
        <v>496</v>
      </c>
      <c r="E310" s="11">
        <v>41096</v>
      </c>
      <c r="F310" s="11">
        <v>41091</v>
      </c>
      <c r="G310" s="12">
        <v>10</v>
      </c>
      <c r="H310" s="12">
        <v>120</v>
      </c>
      <c r="I310" s="13">
        <v>15377.14</v>
      </c>
      <c r="J310" s="13">
        <v>0</v>
      </c>
      <c r="K310" s="13">
        <f t="shared" si="131"/>
        <v>15377.14</v>
      </c>
      <c r="L310" s="13">
        <v>15377.14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X310" s="19">
        <v>0</v>
      </c>
      <c r="Y310" s="13">
        <f t="shared" si="132"/>
        <v>0</v>
      </c>
      <c r="Z310" s="13">
        <f t="shared" si="133"/>
        <v>15377.14</v>
      </c>
      <c r="AA310" s="13">
        <f t="shared" si="134"/>
        <v>0</v>
      </c>
    </row>
    <row r="311" spans="3:27" ht="15" customHeight="1" x14ac:dyDescent="0.2">
      <c r="C311" s="10" t="s">
        <v>497</v>
      </c>
      <c r="D311" s="10" t="s">
        <v>498</v>
      </c>
      <c r="E311" s="11">
        <v>41122</v>
      </c>
      <c r="F311" s="11">
        <v>41122</v>
      </c>
      <c r="G311" s="12">
        <v>10</v>
      </c>
      <c r="H311" s="12">
        <v>120</v>
      </c>
      <c r="I311" s="13">
        <v>5520</v>
      </c>
      <c r="J311" s="13">
        <v>0</v>
      </c>
      <c r="K311" s="13">
        <f t="shared" si="131"/>
        <v>5520</v>
      </c>
      <c r="L311" s="13">
        <v>5520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X311" s="19">
        <v>0</v>
      </c>
      <c r="Y311" s="13">
        <f t="shared" si="132"/>
        <v>0</v>
      </c>
      <c r="Z311" s="13">
        <f t="shared" si="133"/>
        <v>5520</v>
      </c>
      <c r="AA311" s="13">
        <f t="shared" si="134"/>
        <v>0</v>
      </c>
    </row>
    <row r="312" spans="3:27" ht="15" customHeight="1" x14ac:dyDescent="0.2">
      <c r="C312" s="10" t="s">
        <v>499</v>
      </c>
      <c r="D312" s="10" t="s">
        <v>500</v>
      </c>
      <c r="E312" s="11">
        <v>41127</v>
      </c>
      <c r="F312" s="11">
        <v>41122</v>
      </c>
      <c r="G312" s="12">
        <v>10</v>
      </c>
      <c r="H312" s="12">
        <v>120</v>
      </c>
      <c r="I312" s="13">
        <v>13214.29</v>
      </c>
      <c r="J312" s="13">
        <v>0</v>
      </c>
      <c r="K312" s="13">
        <f t="shared" ref="K312:K315" si="135">+I312-J312</f>
        <v>13214.29</v>
      </c>
      <c r="L312" s="13">
        <v>13214.29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v>0</v>
      </c>
      <c r="U312" s="19">
        <v>0</v>
      </c>
      <c r="V312" s="19">
        <v>0</v>
      </c>
      <c r="W312" s="19">
        <v>0</v>
      </c>
      <c r="X312" s="19">
        <v>0</v>
      </c>
      <c r="Y312" s="13">
        <f t="shared" ref="Y312:Y367" si="136">SUM(M312:X312)</f>
        <v>0</v>
      </c>
      <c r="Z312" s="13">
        <f t="shared" ref="Z312:Z367" si="137">+L312+Y312</f>
        <v>13214.29</v>
      </c>
      <c r="AA312" s="13">
        <f t="shared" ref="AA312:AA367" si="138">+I312-Z312</f>
        <v>0</v>
      </c>
    </row>
    <row r="313" spans="3:27" ht="15" customHeight="1" x14ac:dyDescent="0.2">
      <c r="C313" s="10" t="s">
        <v>501</v>
      </c>
      <c r="D313" s="10" t="s">
        <v>36</v>
      </c>
      <c r="E313" s="11">
        <v>41153</v>
      </c>
      <c r="F313" s="11">
        <v>41153</v>
      </c>
      <c r="G313" s="12">
        <v>10</v>
      </c>
      <c r="H313" s="12">
        <v>120</v>
      </c>
      <c r="I313" s="13">
        <v>1345.39</v>
      </c>
      <c r="J313" s="13">
        <v>0</v>
      </c>
      <c r="K313" s="13">
        <f t="shared" si="135"/>
        <v>1345.39</v>
      </c>
      <c r="L313" s="13">
        <v>1345.39</v>
      </c>
      <c r="M313" s="19">
        <v>0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  <c r="T313" s="19">
        <v>0</v>
      </c>
      <c r="U313" s="19">
        <v>0</v>
      </c>
      <c r="V313" s="19">
        <v>0</v>
      </c>
      <c r="W313" s="19">
        <v>0</v>
      </c>
      <c r="X313" s="19">
        <v>0</v>
      </c>
      <c r="Y313" s="13">
        <f t="shared" si="136"/>
        <v>0</v>
      </c>
      <c r="Z313" s="13">
        <f t="shared" si="137"/>
        <v>1345.39</v>
      </c>
      <c r="AA313" s="13">
        <f t="shared" si="138"/>
        <v>0</v>
      </c>
    </row>
    <row r="314" spans="3:27" ht="15" customHeight="1" x14ac:dyDescent="0.2">
      <c r="C314" s="10" t="s">
        <v>502</v>
      </c>
      <c r="D314" s="10" t="s">
        <v>503</v>
      </c>
      <c r="E314" s="11">
        <v>41181</v>
      </c>
      <c r="F314" s="11">
        <v>41183</v>
      </c>
      <c r="G314" s="12">
        <v>10</v>
      </c>
      <c r="H314" s="12">
        <v>120</v>
      </c>
      <c r="I314" s="13">
        <v>10080</v>
      </c>
      <c r="J314" s="13">
        <v>0</v>
      </c>
      <c r="K314" s="13">
        <f t="shared" si="135"/>
        <v>10080</v>
      </c>
      <c r="L314" s="13">
        <v>10080</v>
      </c>
      <c r="M314" s="19">
        <v>0</v>
      </c>
      <c r="N314" s="19">
        <v>0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X314" s="19">
        <v>0</v>
      </c>
      <c r="Y314" s="13">
        <f t="shared" si="136"/>
        <v>0</v>
      </c>
      <c r="Z314" s="13">
        <f t="shared" si="137"/>
        <v>10080</v>
      </c>
      <c r="AA314" s="13">
        <f t="shared" si="138"/>
        <v>0</v>
      </c>
    </row>
    <row r="315" spans="3:27" ht="15" customHeight="1" x14ac:dyDescent="0.2">
      <c r="C315" s="10" t="s">
        <v>504</v>
      </c>
      <c r="D315" s="10" t="s">
        <v>505</v>
      </c>
      <c r="E315" s="11">
        <v>41244</v>
      </c>
      <c r="F315" s="11">
        <v>41244</v>
      </c>
      <c r="G315" s="12">
        <v>10</v>
      </c>
      <c r="H315" s="12">
        <v>120</v>
      </c>
      <c r="I315" s="13">
        <v>3560</v>
      </c>
      <c r="J315" s="13">
        <v>0</v>
      </c>
      <c r="K315" s="13">
        <f t="shared" si="135"/>
        <v>3560</v>
      </c>
      <c r="L315" s="13">
        <v>3560</v>
      </c>
      <c r="M315" s="19">
        <v>0</v>
      </c>
      <c r="N315" s="19">
        <v>0</v>
      </c>
      <c r="O315" s="19">
        <v>0</v>
      </c>
      <c r="P315" s="19">
        <v>0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3">
        <f t="shared" si="136"/>
        <v>0</v>
      </c>
      <c r="Z315" s="13">
        <f t="shared" si="137"/>
        <v>3560</v>
      </c>
      <c r="AA315" s="13">
        <f t="shared" si="138"/>
        <v>0</v>
      </c>
    </row>
    <row r="316" spans="3:27" ht="15" customHeight="1" x14ac:dyDescent="0.2">
      <c r="C316" s="10" t="s">
        <v>506</v>
      </c>
      <c r="D316" s="10" t="s">
        <v>507</v>
      </c>
      <c r="E316" s="11">
        <v>41277</v>
      </c>
      <c r="F316" s="11">
        <v>41275</v>
      </c>
      <c r="G316" s="12">
        <v>10</v>
      </c>
      <c r="H316" s="12">
        <v>120</v>
      </c>
      <c r="I316" s="13">
        <v>67018.3</v>
      </c>
      <c r="J316" s="13">
        <v>0</v>
      </c>
      <c r="K316" s="13">
        <f t="shared" ref="K316:K373" si="139">+I316-J316</f>
        <v>67018.3</v>
      </c>
      <c r="L316" s="13">
        <v>67018.3</v>
      </c>
      <c r="M316" s="19">
        <v>0</v>
      </c>
      <c r="N316" s="19">
        <v>0</v>
      </c>
      <c r="O316" s="19">
        <v>0</v>
      </c>
      <c r="P316" s="19">
        <v>0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X316" s="19">
        <v>0</v>
      </c>
      <c r="Y316" s="13">
        <f t="shared" si="136"/>
        <v>0</v>
      </c>
      <c r="Z316" s="13">
        <f t="shared" si="137"/>
        <v>67018.3</v>
      </c>
      <c r="AA316" s="13">
        <f t="shared" si="138"/>
        <v>0</v>
      </c>
    </row>
    <row r="317" spans="3:27" ht="15" customHeight="1" x14ac:dyDescent="0.2">
      <c r="C317" s="10" t="s">
        <v>508</v>
      </c>
      <c r="D317" s="10" t="s">
        <v>509</v>
      </c>
      <c r="E317" s="11">
        <v>41277</v>
      </c>
      <c r="F317" s="11">
        <v>41275</v>
      </c>
      <c r="G317" s="12">
        <v>10</v>
      </c>
      <c r="H317" s="12">
        <v>120</v>
      </c>
      <c r="I317" s="13">
        <v>20000</v>
      </c>
      <c r="J317" s="13">
        <v>0</v>
      </c>
      <c r="K317" s="13">
        <f t="shared" si="139"/>
        <v>20000</v>
      </c>
      <c r="L317" s="13">
        <v>20000</v>
      </c>
      <c r="M317" s="19">
        <v>0</v>
      </c>
      <c r="N317" s="19">
        <v>0</v>
      </c>
      <c r="O317" s="19">
        <v>0</v>
      </c>
      <c r="P317" s="19">
        <v>0</v>
      </c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13">
        <f t="shared" si="136"/>
        <v>0</v>
      </c>
      <c r="Z317" s="13">
        <f t="shared" si="137"/>
        <v>20000</v>
      </c>
      <c r="AA317" s="13">
        <f t="shared" si="138"/>
        <v>0</v>
      </c>
    </row>
    <row r="318" spans="3:27" ht="15" customHeight="1" x14ac:dyDescent="0.2">
      <c r="C318" s="10" t="s">
        <v>510</v>
      </c>
      <c r="D318" s="10" t="s">
        <v>511</v>
      </c>
      <c r="E318" s="11">
        <v>41278</v>
      </c>
      <c r="F318" s="11">
        <v>41275</v>
      </c>
      <c r="G318" s="12">
        <v>10</v>
      </c>
      <c r="H318" s="12">
        <v>120</v>
      </c>
      <c r="I318" s="13">
        <v>5495</v>
      </c>
      <c r="J318" s="13">
        <v>0</v>
      </c>
      <c r="K318" s="13">
        <f t="shared" si="139"/>
        <v>5495</v>
      </c>
      <c r="L318" s="13">
        <v>5495</v>
      </c>
      <c r="M318" s="19">
        <v>0</v>
      </c>
      <c r="N318" s="19">
        <v>0</v>
      </c>
      <c r="O318" s="19">
        <v>0</v>
      </c>
      <c r="P318" s="19">
        <v>0</v>
      </c>
      <c r="Q318" s="19">
        <v>0</v>
      </c>
      <c r="R318" s="19">
        <v>0</v>
      </c>
      <c r="S318" s="19">
        <v>0</v>
      </c>
      <c r="T318" s="19">
        <v>0</v>
      </c>
      <c r="U318" s="19">
        <v>0</v>
      </c>
      <c r="V318" s="19">
        <v>0</v>
      </c>
      <c r="W318" s="19">
        <v>0</v>
      </c>
      <c r="X318" s="19">
        <v>0</v>
      </c>
      <c r="Y318" s="13">
        <f t="shared" si="136"/>
        <v>0</v>
      </c>
      <c r="Z318" s="13">
        <f t="shared" si="137"/>
        <v>5495</v>
      </c>
      <c r="AA318" s="13">
        <f t="shared" si="138"/>
        <v>0</v>
      </c>
    </row>
    <row r="319" spans="3:27" ht="15" customHeight="1" x14ac:dyDescent="0.2">
      <c r="C319" s="10" t="s">
        <v>512</v>
      </c>
      <c r="D319" s="10" t="s">
        <v>513</v>
      </c>
      <c r="E319" s="11">
        <v>41282</v>
      </c>
      <c r="F319" s="11">
        <v>41275</v>
      </c>
      <c r="G319" s="12">
        <v>10</v>
      </c>
      <c r="H319" s="12">
        <v>120</v>
      </c>
      <c r="I319" s="13">
        <v>996.16</v>
      </c>
      <c r="J319" s="13">
        <v>0</v>
      </c>
      <c r="K319" s="13">
        <f t="shared" si="139"/>
        <v>996.16</v>
      </c>
      <c r="L319" s="13">
        <v>996.16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  <c r="U319" s="19">
        <v>0</v>
      </c>
      <c r="V319" s="19">
        <v>0</v>
      </c>
      <c r="W319" s="19">
        <v>0</v>
      </c>
      <c r="X319" s="19">
        <v>0</v>
      </c>
      <c r="Y319" s="13">
        <f t="shared" si="136"/>
        <v>0</v>
      </c>
      <c r="Z319" s="13">
        <f t="shared" si="137"/>
        <v>996.16</v>
      </c>
      <c r="AA319" s="13">
        <f t="shared" si="138"/>
        <v>0</v>
      </c>
    </row>
    <row r="320" spans="3:27" ht="15" customHeight="1" x14ac:dyDescent="0.2">
      <c r="C320" s="10" t="s">
        <v>514</v>
      </c>
      <c r="D320" s="10" t="s">
        <v>469</v>
      </c>
      <c r="E320" s="11">
        <v>41284</v>
      </c>
      <c r="F320" s="11">
        <v>41275</v>
      </c>
      <c r="G320" s="12">
        <v>10</v>
      </c>
      <c r="H320" s="12">
        <v>120</v>
      </c>
      <c r="I320" s="13">
        <v>12291</v>
      </c>
      <c r="J320" s="13">
        <v>0</v>
      </c>
      <c r="K320" s="13">
        <f t="shared" si="139"/>
        <v>12291</v>
      </c>
      <c r="L320" s="13">
        <v>12291</v>
      </c>
      <c r="M320" s="19">
        <v>0</v>
      </c>
      <c r="N320" s="19">
        <v>0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0</v>
      </c>
      <c r="X320" s="19">
        <v>0</v>
      </c>
      <c r="Y320" s="13">
        <f t="shared" si="136"/>
        <v>0</v>
      </c>
      <c r="Z320" s="13">
        <f t="shared" si="137"/>
        <v>12291</v>
      </c>
      <c r="AA320" s="13">
        <f t="shared" si="138"/>
        <v>0</v>
      </c>
    </row>
    <row r="321" spans="3:27" ht="15" customHeight="1" x14ac:dyDescent="0.2">
      <c r="C321" s="10" t="s">
        <v>515</v>
      </c>
      <c r="D321" s="10" t="s">
        <v>511</v>
      </c>
      <c r="E321" s="11">
        <v>41288</v>
      </c>
      <c r="F321" s="11">
        <v>41306</v>
      </c>
      <c r="G321" s="12">
        <v>10</v>
      </c>
      <c r="H321" s="12">
        <v>120</v>
      </c>
      <c r="I321" s="13">
        <v>2580</v>
      </c>
      <c r="J321" s="13">
        <v>0</v>
      </c>
      <c r="K321" s="13">
        <f t="shared" si="139"/>
        <v>2580</v>
      </c>
      <c r="L321" s="13">
        <v>2580</v>
      </c>
      <c r="M321" s="19">
        <v>0</v>
      </c>
      <c r="N321" s="19">
        <v>0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>
        <v>0</v>
      </c>
      <c r="Y321" s="13">
        <f t="shared" si="136"/>
        <v>0</v>
      </c>
      <c r="Z321" s="13">
        <f t="shared" si="137"/>
        <v>2580</v>
      </c>
      <c r="AA321" s="13">
        <f t="shared" si="138"/>
        <v>0</v>
      </c>
    </row>
    <row r="322" spans="3:27" ht="15" customHeight="1" x14ac:dyDescent="0.2">
      <c r="C322" s="10" t="s">
        <v>516</v>
      </c>
      <c r="D322" s="10" t="s">
        <v>517</v>
      </c>
      <c r="E322" s="11">
        <v>41291</v>
      </c>
      <c r="F322" s="11">
        <v>41306</v>
      </c>
      <c r="G322" s="12">
        <v>10</v>
      </c>
      <c r="H322" s="12">
        <v>120</v>
      </c>
      <c r="I322" s="13">
        <v>1875</v>
      </c>
      <c r="J322" s="13">
        <v>0</v>
      </c>
      <c r="K322" s="13">
        <f t="shared" si="139"/>
        <v>1875</v>
      </c>
      <c r="L322" s="13">
        <v>1875</v>
      </c>
      <c r="M322" s="19">
        <v>0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>
        <v>0</v>
      </c>
      <c r="Y322" s="13">
        <f t="shared" si="136"/>
        <v>0</v>
      </c>
      <c r="Z322" s="13">
        <f t="shared" si="137"/>
        <v>1875</v>
      </c>
      <c r="AA322" s="13">
        <f t="shared" si="138"/>
        <v>0</v>
      </c>
    </row>
    <row r="323" spans="3:27" ht="15" customHeight="1" x14ac:dyDescent="0.2">
      <c r="C323" s="10" t="s">
        <v>518</v>
      </c>
      <c r="D323" s="10" t="s">
        <v>519</v>
      </c>
      <c r="E323" s="11">
        <v>41380</v>
      </c>
      <c r="F323" s="11">
        <v>41395</v>
      </c>
      <c r="G323" s="12">
        <v>10</v>
      </c>
      <c r="H323" s="12">
        <v>120</v>
      </c>
      <c r="I323" s="13">
        <v>5560</v>
      </c>
      <c r="J323" s="13">
        <v>0</v>
      </c>
      <c r="K323" s="13">
        <f t="shared" si="139"/>
        <v>5560</v>
      </c>
      <c r="L323" s="13">
        <v>5560</v>
      </c>
      <c r="M323" s="19">
        <v>0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3">
        <f t="shared" si="136"/>
        <v>0</v>
      </c>
      <c r="Z323" s="13">
        <f t="shared" si="137"/>
        <v>5560</v>
      </c>
      <c r="AA323" s="13">
        <f t="shared" si="138"/>
        <v>0</v>
      </c>
    </row>
    <row r="324" spans="3:27" ht="15" customHeight="1" x14ac:dyDescent="0.2">
      <c r="C324" s="10" t="s">
        <v>520</v>
      </c>
      <c r="D324" s="10" t="s">
        <v>521</v>
      </c>
      <c r="E324" s="11">
        <v>41380</v>
      </c>
      <c r="F324" s="11">
        <v>41395</v>
      </c>
      <c r="G324" s="12">
        <v>10</v>
      </c>
      <c r="H324" s="12">
        <v>120</v>
      </c>
      <c r="I324" s="13">
        <v>5357.16</v>
      </c>
      <c r="J324" s="13">
        <v>0</v>
      </c>
      <c r="K324" s="13">
        <f t="shared" si="139"/>
        <v>5357.16</v>
      </c>
      <c r="L324" s="13">
        <v>5357.16</v>
      </c>
      <c r="M324" s="19">
        <v>0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3">
        <f t="shared" si="136"/>
        <v>0</v>
      </c>
      <c r="Z324" s="13">
        <f t="shared" si="137"/>
        <v>5357.16</v>
      </c>
      <c r="AA324" s="13">
        <f t="shared" si="138"/>
        <v>0</v>
      </c>
    </row>
    <row r="325" spans="3:27" ht="15" customHeight="1" x14ac:dyDescent="0.2">
      <c r="C325" s="10" t="s">
        <v>418</v>
      </c>
      <c r="D325" s="10" t="s">
        <v>522</v>
      </c>
      <c r="E325" s="11">
        <v>41435</v>
      </c>
      <c r="F325" s="11">
        <v>41426</v>
      </c>
      <c r="G325" s="12">
        <v>10</v>
      </c>
      <c r="H325" s="12">
        <v>120</v>
      </c>
      <c r="I325" s="13">
        <v>6800.97</v>
      </c>
      <c r="J325" s="13">
        <v>0</v>
      </c>
      <c r="K325" s="13">
        <f t="shared" si="139"/>
        <v>6800.97</v>
      </c>
      <c r="L325" s="13">
        <v>6800.97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3">
        <f t="shared" si="136"/>
        <v>0</v>
      </c>
      <c r="Z325" s="13">
        <f t="shared" si="137"/>
        <v>6800.97</v>
      </c>
      <c r="AA325" s="13">
        <f t="shared" si="138"/>
        <v>0</v>
      </c>
    </row>
    <row r="326" spans="3:27" ht="15" customHeight="1" x14ac:dyDescent="0.2">
      <c r="C326" s="10" t="s">
        <v>504</v>
      </c>
      <c r="D326" s="10" t="s">
        <v>523</v>
      </c>
      <c r="E326" s="11">
        <v>41435</v>
      </c>
      <c r="F326" s="11">
        <v>41456</v>
      </c>
      <c r="G326" s="12">
        <v>10</v>
      </c>
      <c r="H326" s="12">
        <v>120</v>
      </c>
      <c r="I326" s="13">
        <v>1493.98</v>
      </c>
      <c r="J326" s="13">
        <v>0</v>
      </c>
      <c r="K326" s="13">
        <f t="shared" si="139"/>
        <v>1493.98</v>
      </c>
      <c r="L326" s="13">
        <v>1493.98</v>
      </c>
      <c r="M326" s="19">
        <v>0</v>
      </c>
      <c r="N326" s="19">
        <v>0</v>
      </c>
      <c r="O326" s="19">
        <v>0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19">
        <v>0</v>
      </c>
      <c r="Y326" s="13">
        <f t="shared" si="136"/>
        <v>0</v>
      </c>
      <c r="Z326" s="13">
        <f t="shared" si="137"/>
        <v>1493.98</v>
      </c>
      <c r="AA326" s="13">
        <f t="shared" si="138"/>
        <v>0</v>
      </c>
    </row>
    <row r="327" spans="3:27" ht="15" customHeight="1" x14ac:dyDescent="0.2">
      <c r="C327" s="10" t="s">
        <v>524</v>
      </c>
      <c r="D327" s="10" t="s">
        <v>525</v>
      </c>
      <c r="E327" s="11">
        <v>41436</v>
      </c>
      <c r="F327" s="11">
        <v>41426</v>
      </c>
      <c r="G327" s="12">
        <v>10</v>
      </c>
      <c r="H327" s="12">
        <v>120</v>
      </c>
      <c r="I327" s="13">
        <v>1992.33</v>
      </c>
      <c r="J327" s="13">
        <v>0</v>
      </c>
      <c r="K327" s="13">
        <f t="shared" si="139"/>
        <v>1992.33</v>
      </c>
      <c r="L327" s="13">
        <v>1992.33</v>
      </c>
      <c r="M327" s="19">
        <v>0</v>
      </c>
      <c r="N327" s="19">
        <v>0</v>
      </c>
      <c r="O327" s="19">
        <v>0</v>
      </c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  <c r="V327" s="19">
        <v>0</v>
      </c>
      <c r="W327" s="19">
        <v>0</v>
      </c>
      <c r="X327" s="19">
        <v>0</v>
      </c>
      <c r="Y327" s="13">
        <f t="shared" si="136"/>
        <v>0</v>
      </c>
      <c r="Z327" s="13">
        <f t="shared" si="137"/>
        <v>1992.33</v>
      </c>
      <c r="AA327" s="13">
        <f t="shared" si="138"/>
        <v>0</v>
      </c>
    </row>
    <row r="328" spans="3:27" ht="15" customHeight="1" x14ac:dyDescent="0.2">
      <c r="C328" s="10" t="s">
        <v>526</v>
      </c>
      <c r="D328" s="10" t="s">
        <v>527</v>
      </c>
      <c r="E328" s="11">
        <v>41444</v>
      </c>
      <c r="F328" s="11">
        <v>41456</v>
      </c>
      <c r="G328" s="12">
        <v>10</v>
      </c>
      <c r="H328" s="12">
        <v>120</v>
      </c>
      <c r="I328" s="13">
        <v>5950</v>
      </c>
      <c r="J328" s="13">
        <v>0</v>
      </c>
      <c r="K328" s="13">
        <f t="shared" si="139"/>
        <v>5950</v>
      </c>
      <c r="L328" s="13">
        <v>5950</v>
      </c>
      <c r="M328" s="19">
        <v>0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>
        <v>0</v>
      </c>
      <c r="T328" s="19">
        <v>0</v>
      </c>
      <c r="U328" s="19">
        <v>0</v>
      </c>
      <c r="V328" s="19">
        <v>0</v>
      </c>
      <c r="W328" s="19">
        <v>0</v>
      </c>
      <c r="X328" s="19">
        <v>0</v>
      </c>
      <c r="Y328" s="13">
        <f t="shared" si="136"/>
        <v>0</v>
      </c>
      <c r="Z328" s="13">
        <f t="shared" si="137"/>
        <v>5950</v>
      </c>
      <c r="AA328" s="13">
        <f t="shared" si="138"/>
        <v>0</v>
      </c>
    </row>
    <row r="329" spans="3:27" ht="15" customHeight="1" x14ac:dyDescent="0.2">
      <c r="C329" s="10" t="s">
        <v>516</v>
      </c>
      <c r="D329" s="10" t="s">
        <v>528</v>
      </c>
      <c r="E329" s="11">
        <v>41444</v>
      </c>
      <c r="F329" s="11">
        <v>41456</v>
      </c>
      <c r="G329" s="12">
        <v>10</v>
      </c>
      <c r="H329" s="12">
        <v>120</v>
      </c>
      <c r="I329" s="13">
        <v>3000</v>
      </c>
      <c r="J329" s="13">
        <v>0</v>
      </c>
      <c r="K329" s="13">
        <f t="shared" si="139"/>
        <v>3000</v>
      </c>
      <c r="L329" s="13">
        <v>3000</v>
      </c>
      <c r="M329" s="19">
        <v>0</v>
      </c>
      <c r="N329" s="19">
        <v>0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3">
        <f t="shared" si="136"/>
        <v>0</v>
      </c>
      <c r="Z329" s="13">
        <f t="shared" si="137"/>
        <v>3000</v>
      </c>
      <c r="AA329" s="13">
        <f t="shared" si="138"/>
        <v>0</v>
      </c>
    </row>
    <row r="330" spans="3:27" ht="15" customHeight="1" x14ac:dyDescent="0.2">
      <c r="C330" s="10" t="s">
        <v>497</v>
      </c>
      <c r="D330" s="10" t="s">
        <v>438</v>
      </c>
      <c r="E330" s="11">
        <v>41444</v>
      </c>
      <c r="F330" s="11">
        <v>41456</v>
      </c>
      <c r="G330" s="12">
        <v>10</v>
      </c>
      <c r="H330" s="12">
        <v>120</v>
      </c>
      <c r="I330" s="13">
        <v>850</v>
      </c>
      <c r="J330" s="13">
        <v>0</v>
      </c>
      <c r="K330" s="13">
        <f t="shared" si="139"/>
        <v>850</v>
      </c>
      <c r="L330" s="13">
        <v>850</v>
      </c>
      <c r="M330" s="19">
        <v>0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9">
        <v>0</v>
      </c>
      <c r="W330" s="19">
        <v>0</v>
      </c>
      <c r="X330" s="19">
        <v>0</v>
      </c>
      <c r="Y330" s="13">
        <f t="shared" si="136"/>
        <v>0</v>
      </c>
      <c r="Z330" s="13">
        <f t="shared" si="137"/>
        <v>850</v>
      </c>
      <c r="AA330" s="13">
        <f t="shared" si="138"/>
        <v>0</v>
      </c>
    </row>
    <row r="331" spans="3:27" ht="15" customHeight="1" x14ac:dyDescent="0.2">
      <c r="C331" s="10" t="s">
        <v>529</v>
      </c>
      <c r="D331" s="10" t="s">
        <v>530</v>
      </c>
      <c r="E331" s="11">
        <v>41454</v>
      </c>
      <c r="F331" s="11">
        <v>41456</v>
      </c>
      <c r="G331" s="12">
        <v>10</v>
      </c>
      <c r="H331" s="12">
        <v>120</v>
      </c>
      <c r="I331" s="13">
        <v>31693.29</v>
      </c>
      <c r="J331" s="13">
        <v>0</v>
      </c>
      <c r="K331" s="13">
        <f t="shared" si="139"/>
        <v>31693.29</v>
      </c>
      <c r="L331" s="13">
        <v>31693.29</v>
      </c>
      <c r="M331" s="19">
        <v>0</v>
      </c>
      <c r="N331" s="19">
        <v>0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9">
        <v>0</v>
      </c>
      <c r="V331" s="19">
        <v>0</v>
      </c>
      <c r="W331" s="19">
        <v>0</v>
      </c>
      <c r="X331" s="19">
        <v>0</v>
      </c>
      <c r="Y331" s="13">
        <f t="shared" si="136"/>
        <v>0</v>
      </c>
      <c r="Z331" s="13">
        <f t="shared" si="137"/>
        <v>31693.29</v>
      </c>
      <c r="AA331" s="13">
        <f t="shared" si="138"/>
        <v>0</v>
      </c>
    </row>
    <row r="332" spans="3:27" ht="15" customHeight="1" x14ac:dyDescent="0.2">
      <c r="C332" s="10" t="s">
        <v>531</v>
      </c>
      <c r="D332" s="10" t="s">
        <v>532</v>
      </c>
      <c r="E332" s="11">
        <v>41454</v>
      </c>
      <c r="F332" s="11">
        <v>41456</v>
      </c>
      <c r="G332" s="12">
        <v>10</v>
      </c>
      <c r="H332" s="12">
        <v>120</v>
      </c>
      <c r="I332" s="13">
        <v>3392.86</v>
      </c>
      <c r="J332" s="13">
        <v>0</v>
      </c>
      <c r="K332" s="13">
        <f t="shared" si="139"/>
        <v>3392.86</v>
      </c>
      <c r="L332" s="13">
        <v>3392.86</v>
      </c>
      <c r="M332" s="19">
        <v>0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13">
        <f t="shared" si="136"/>
        <v>0</v>
      </c>
      <c r="Z332" s="13">
        <f t="shared" si="137"/>
        <v>3392.86</v>
      </c>
      <c r="AA332" s="13">
        <f t="shared" si="138"/>
        <v>0</v>
      </c>
    </row>
    <row r="333" spans="3:27" ht="15" customHeight="1" x14ac:dyDescent="0.2">
      <c r="C333" s="10" t="s">
        <v>533</v>
      </c>
      <c r="D333" s="10" t="s">
        <v>423</v>
      </c>
      <c r="E333" s="11">
        <v>41639</v>
      </c>
      <c r="F333" s="11">
        <v>41640</v>
      </c>
      <c r="G333" s="12">
        <v>10</v>
      </c>
      <c r="H333" s="12">
        <v>120</v>
      </c>
      <c r="I333" s="13">
        <v>25820.03</v>
      </c>
      <c r="J333" s="13">
        <v>0</v>
      </c>
      <c r="K333" s="13">
        <f t="shared" si="139"/>
        <v>25820.03</v>
      </c>
      <c r="L333" s="13">
        <v>25820.03</v>
      </c>
      <c r="M333" s="13">
        <v>0</v>
      </c>
      <c r="N333" s="19">
        <v>0</v>
      </c>
      <c r="O333" s="19">
        <v>0</v>
      </c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9">
        <v>0</v>
      </c>
      <c r="V333" s="19">
        <v>0</v>
      </c>
      <c r="W333" s="19">
        <v>0</v>
      </c>
      <c r="X333" s="19">
        <v>0</v>
      </c>
      <c r="Y333" s="13">
        <f t="shared" si="136"/>
        <v>0</v>
      </c>
      <c r="Z333" s="13">
        <f t="shared" si="137"/>
        <v>25820.03</v>
      </c>
      <c r="AA333" s="13">
        <f t="shared" si="138"/>
        <v>0</v>
      </c>
    </row>
    <row r="334" spans="3:27" ht="15" customHeight="1" x14ac:dyDescent="0.2">
      <c r="C334" s="10" t="s">
        <v>534</v>
      </c>
      <c r="D334" s="10" t="s">
        <v>535</v>
      </c>
      <c r="E334" s="11">
        <v>41697</v>
      </c>
      <c r="F334" s="11">
        <v>41699</v>
      </c>
      <c r="G334" s="12">
        <v>10</v>
      </c>
      <c r="H334" s="12">
        <v>120</v>
      </c>
      <c r="I334" s="13">
        <v>13290</v>
      </c>
      <c r="J334" s="13">
        <v>1720.58</v>
      </c>
      <c r="K334" s="13">
        <f t="shared" si="139"/>
        <v>11569.42</v>
      </c>
      <c r="L334" s="13">
        <v>11569.42</v>
      </c>
      <c r="M334" s="13">
        <v>0</v>
      </c>
      <c r="N334" s="13">
        <v>0</v>
      </c>
      <c r="O334" s="13">
        <v>0</v>
      </c>
      <c r="P334" s="19">
        <v>0</v>
      </c>
      <c r="Q334" s="19">
        <v>0</v>
      </c>
      <c r="R334" s="19">
        <v>0</v>
      </c>
      <c r="S334" s="19">
        <v>0</v>
      </c>
      <c r="T334" s="19">
        <v>0</v>
      </c>
      <c r="U334" s="19">
        <v>0</v>
      </c>
      <c r="V334" s="19">
        <v>0</v>
      </c>
      <c r="W334" s="19">
        <v>0</v>
      </c>
      <c r="X334" s="19">
        <v>0</v>
      </c>
      <c r="Y334" s="13">
        <f t="shared" si="136"/>
        <v>0</v>
      </c>
      <c r="Z334" s="13">
        <f t="shared" si="137"/>
        <v>11569.42</v>
      </c>
      <c r="AA334" s="13">
        <f t="shared" si="138"/>
        <v>1720.58</v>
      </c>
    </row>
    <row r="335" spans="3:27" ht="15" customHeight="1" x14ac:dyDescent="0.2">
      <c r="C335" s="10" t="s">
        <v>536</v>
      </c>
      <c r="D335" s="10" t="s">
        <v>473</v>
      </c>
      <c r="E335" s="11">
        <v>41787</v>
      </c>
      <c r="F335" s="11">
        <v>41791</v>
      </c>
      <c r="G335" s="12">
        <v>10</v>
      </c>
      <c r="H335" s="12">
        <v>120</v>
      </c>
      <c r="I335" s="13">
        <v>173000</v>
      </c>
      <c r="J335" s="13">
        <v>25872.76</v>
      </c>
      <c r="K335" s="13">
        <f t="shared" si="139"/>
        <v>147127.24</v>
      </c>
      <c r="L335" s="13">
        <v>147127.24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9">
        <v>0</v>
      </c>
      <c r="T335" s="19">
        <v>0</v>
      </c>
      <c r="U335" s="19">
        <v>0</v>
      </c>
      <c r="V335" s="19">
        <v>0</v>
      </c>
      <c r="W335" s="19">
        <v>0</v>
      </c>
      <c r="X335" s="19">
        <v>0</v>
      </c>
      <c r="Y335" s="13">
        <f t="shared" si="136"/>
        <v>0</v>
      </c>
      <c r="Z335" s="13">
        <f t="shared" si="137"/>
        <v>147127.24</v>
      </c>
      <c r="AA335" s="13">
        <f t="shared" si="138"/>
        <v>25872.760000000009</v>
      </c>
    </row>
    <row r="336" spans="3:27" ht="15" customHeight="1" x14ac:dyDescent="0.2">
      <c r="C336" s="10" t="s">
        <v>514</v>
      </c>
      <c r="D336" s="10" t="s">
        <v>454</v>
      </c>
      <c r="E336" s="11">
        <v>41898</v>
      </c>
      <c r="F336" s="11">
        <v>41913</v>
      </c>
      <c r="G336" s="12">
        <v>10</v>
      </c>
      <c r="H336" s="12">
        <v>120</v>
      </c>
      <c r="I336" s="13">
        <v>6000</v>
      </c>
      <c r="J336" s="13">
        <v>1058.03</v>
      </c>
      <c r="K336" s="13">
        <f t="shared" si="139"/>
        <v>4941.97</v>
      </c>
      <c r="L336" s="13">
        <v>4941.97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9">
        <v>0</v>
      </c>
      <c r="W336" s="19">
        <v>0</v>
      </c>
      <c r="X336" s="19">
        <v>0</v>
      </c>
      <c r="Y336" s="13">
        <f t="shared" si="136"/>
        <v>0</v>
      </c>
      <c r="Z336" s="13">
        <f t="shared" si="137"/>
        <v>4941.97</v>
      </c>
      <c r="AA336" s="13">
        <f t="shared" si="138"/>
        <v>1058.0299999999997</v>
      </c>
    </row>
    <row r="337" spans="3:27" ht="15" customHeight="1" x14ac:dyDescent="0.2">
      <c r="C337" s="10" t="s">
        <v>537</v>
      </c>
      <c r="D337" s="10" t="s">
        <v>538</v>
      </c>
      <c r="E337" s="11">
        <v>41911</v>
      </c>
      <c r="F337" s="11">
        <v>41913</v>
      </c>
      <c r="G337" s="12">
        <v>10</v>
      </c>
      <c r="H337" s="12">
        <v>120</v>
      </c>
      <c r="I337" s="13">
        <v>3920</v>
      </c>
      <c r="J337" s="13">
        <v>0</v>
      </c>
      <c r="K337" s="13">
        <f t="shared" si="139"/>
        <v>3920</v>
      </c>
      <c r="L337" s="13">
        <v>3920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9">
        <v>0</v>
      </c>
      <c r="W337" s="19">
        <v>0</v>
      </c>
      <c r="X337" s="19">
        <v>0</v>
      </c>
      <c r="Y337" s="13">
        <f t="shared" si="136"/>
        <v>0</v>
      </c>
      <c r="Z337" s="13">
        <f t="shared" si="137"/>
        <v>3920</v>
      </c>
      <c r="AA337" s="13">
        <f t="shared" si="138"/>
        <v>0</v>
      </c>
    </row>
    <row r="338" spans="3:27" ht="15" customHeight="1" x14ac:dyDescent="0.2">
      <c r="C338" s="10" t="s">
        <v>539</v>
      </c>
      <c r="D338" s="10" t="s">
        <v>540</v>
      </c>
      <c r="E338" s="11">
        <v>41970</v>
      </c>
      <c r="F338" s="11">
        <v>41974</v>
      </c>
      <c r="G338" s="12">
        <v>10</v>
      </c>
      <c r="H338" s="12">
        <v>120</v>
      </c>
      <c r="I338" s="13">
        <v>7392</v>
      </c>
      <c r="J338" s="13">
        <v>1402.5</v>
      </c>
      <c r="K338" s="13">
        <f t="shared" si="139"/>
        <v>5989.5</v>
      </c>
      <c r="L338" s="13">
        <v>5989.5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f t="shared" si="136"/>
        <v>0</v>
      </c>
      <c r="Z338" s="13">
        <f t="shared" si="137"/>
        <v>5989.5</v>
      </c>
      <c r="AA338" s="13">
        <f t="shared" si="138"/>
        <v>1402.5</v>
      </c>
    </row>
    <row r="339" spans="3:27" ht="15" customHeight="1" x14ac:dyDescent="0.2">
      <c r="C339" s="10" t="s">
        <v>541</v>
      </c>
      <c r="D339" s="10" t="s">
        <v>542</v>
      </c>
      <c r="E339" s="11">
        <v>42257</v>
      </c>
      <c r="F339" s="11">
        <v>42248</v>
      </c>
      <c r="G339" s="12">
        <v>10</v>
      </c>
      <c r="H339" s="12">
        <v>120</v>
      </c>
      <c r="I339" s="13">
        <v>32835.47</v>
      </c>
      <c r="J339" s="13">
        <v>3283.55</v>
      </c>
      <c r="K339" s="13">
        <f t="shared" si="139"/>
        <v>29551.920000000002</v>
      </c>
      <c r="L339" s="13">
        <v>27335.53</v>
      </c>
      <c r="M339" s="13">
        <f t="shared" ref="M339:U364" si="140">+$K339/$H339</f>
        <v>246.26600000000002</v>
      </c>
      <c r="N339" s="13">
        <f t="shared" si="140"/>
        <v>246.26600000000002</v>
      </c>
      <c r="O339" s="13">
        <f t="shared" si="140"/>
        <v>246.26600000000002</v>
      </c>
      <c r="P339" s="13">
        <f t="shared" si="140"/>
        <v>246.26600000000002</v>
      </c>
      <c r="Q339" s="13">
        <f t="shared" si="140"/>
        <v>246.26600000000002</v>
      </c>
      <c r="R339" s="13">
        <f t="shared" si="140"/>
        <v>246.26600000000002</v>
      </c>
      <c r="S339" s="13">
        <f t="shared" si="140"/>
        <v>246.26600000000002</v>
      </c>
      <c r="T339" s="13">
        <f t="shared" si="140"/>
        <v>246.26600000000002</v>
      </c>
      <c r="U339" s="13">
        <f t="shared" si="140"/>
        <v>246.26600000000002</v>
      </c>
      <c r="V339" s="13">
        <v>0</v>
      </c>
      <c r="W339" s="19">
        <v>0</v>
      </c>
      <c r="X339" s="19">
        <v>0</v>
      </c>
      <c r="Y339" s="13">
        <f t="shared" si="136"/>
        <v>2216.3940000000002</v>
      </c>
      <c r="Z339" s="13">
        <f t="shared" si="137"/>
        <v>29551.923999999999</v>
      </c>
      <c r="AA339" s="13">
        <f t="shared" si="138"/>
        <v>3283.5460000000021</v>
      </c>
    </row>
    <row r="340" spans="3:27" ht="15" customHeight="1" x14ac:dyDescent="0.2">
      <c r="C340" s="10" t="s">
        <v>543</v>
      </c>
      <c r="D340" s="10" t="s">
        <v>542</v>
      </c>
      <c r="E340" s="11">
        <v>42257</v>
      </c>
      <c r="F340" s="11">
        <v>42248</v>
      </c>
      <c r="G340" s="12">
        <v>10</v>
      </c>
      <c r="H340" s="12">
        <v>120</v>
      </c>
      <c r="I340" s="13">
        <v>32835.47</v>
      </c>
      <c r="J340" s="13">
        <v>3283.55</v>
      </c>
      <c r="K340" s="13">
        <f t="shared" si="139"/>
        <v>29551.920000000002</v>
      </c>
      <c r="L340" s="13">
        <v>27581.79</v>
      </c>
      <c r="M340" s="13">
        <f t="shared" si="140"/>
        <v>246.26600000000002</v>
      </c>
      <c r="N340" s="13">
        <f t="shared" si="140"/>
        <v>246.26600000000002</v>
      </c>
      <c r="O340" s="13">
        <f t="shared" si="140"/>
        <v>246.26600000000002</v>
      </c>
      <c r="P340" s="13">
        <f t="shared" si="140"/>
        <v>246.26600000000002</v>
      </c>
      <c r="Q340" s="13">
        <f t="shared" si="140"/>
        <v>246.26600000000002</v>
      </c>
      <c r="R340" s="13">
        <f t="shared" si="140"/>
        <v>246.26600000000002</v>
      </c>
      <c r="S340" s="13">
        <f t="shared" si="140"/>
        <v>246.26600000000002</v>
      </c>
      <c r="T340" s="13">
        <f t="shared" si="140"/>
        <v>246.26600000000002</v>
      </c>
      <c r="U340" s="19">
        <v>0</v>
      </c>
      <c r="V340" s="19">
        <v>0</v>
      </c>
      <c r="W340" s="19">
        <v>0</v>
      </c>
      <c r="X340" s="19">
        <v>0</v>
      </c>
      <c r="Y340" s="13">
        <f t="shared" si="136"/>
        <v>1970.1280000000004</v>
      </c>
      <c r="Z340" s="13">
        <f t="shared" si="137"/>
        <v>29551.918000000001</v>
      </c>
      <c r="AA340" s="13">
        <f t="shared" si="138"/>
        <v>3283.5519999999997</v>
      </c>
    </row>
    <row r="341" spans="3:27" ht="15" customHeight="1" x14ac:dyDescent="0.2">
      <c r="C341" s="10" t="s">
        <v>544</v>
      </c>
      <c r="D341" s="10" t="s">
        <v>545</v>
      </c>
      <c r="E341" s="11">
        <v>42276</v>
      </c>
      <c r="F341" s="11">
        <v>42278</v>
      </c>
      <c r="G341" s="12">
        <v>10</v>
      </c>
      <c r="H341" s="12">
        <v>120</v>
      </c>
      <c r="I341" s="13">
        <v>7840</v>
      </c>
      <c r="J341" s="13">
        <v>784</v>
      </c>
      <c r="K341" s="13">
        <f t="shared" si="139"/>
        <v>7056</v>
      </c>
      <c r="L341" s="13">
        <v>6526.8</v>
      </c>
      <c r="M341" s="13">
        <f t="shared" si="140"/>
        <v>58.8</v>
      </c>
      <c r="N341" s="13">
        <f t="shared" si="140"/>
        <v>58.8</v>
      </c>
      <c r="O341" s="13">
        <f t="shared" si="140"/>
        <v>58.8</v>
      </c>
      <c r="P341" s="13">
        <f t="shared" si="140"/>
        <v>58.8</v>
      </c>
      <c r="Q341" s="13">
        <f t="shared" si="140"/>
        <v>58.8</v>
      </c>
      <c r="R341" s="13">
        <f t="shared" si="140"/>
        <v>58.8</v>
      </c>
      <c r="S341" s="13">
        <f t="shared" si="140"/>
        <v>58.8</v>
      </c>
      <c r="T341" s="13">
        <f t="shared" si="140"/>
        <v>58.8</v>
      </c>
      <c r="U341" s="13">
        <f t="shared" si="140"/>
        <v>58.8</v>
      </c>
      <c r="V341" s="19">
        <v>0</v>
      </c>
      <c r="W341" s="19">
        <v>0</v>
      </c>
      <c r="X341" s="19">
        <v>0</v>
      </c>
      <c r="Y341" s="13">
        <f t="shared" si="136"/>
        <v>529.20000000000005</v>
      </c>
      <c r="Z341" s="13">
        <f t="shared" si="137"/>
        <v>7056</v>
      </c>
      <c r="AA341" s="13">
        <f t="shared" si="138"/>
        <v>784</v>
      </c>
    </row>
    <row r="342" spans="3:27" ht="15" customHeight="1" x14ac:dyDescent="0.2">
      <c r="C342" s="10" t="s">
        <v>546</v>
      </c>
      <c r="D342" s="10" t="s">
        <v>547</v>
      </c>
      <c r="E342" s="11">
        <v>42453</v>
      </c>
      <c r="F342" s="11">
        <v>42461</v>
      </c>
      <c r="G342" s="12">
        <v>10</v>
      </c>
      <c r="H342" s="12">
        <v>120</v>
      </c>
      <c r="I342" s="13">
        <v>3985.97</v>
      </c>
      <c r="J342" s="13">
        <v>398.6</v>
      </c>
      <c r="K342" s="13">
        <f t="shared" si="139"/>
        <v>3587.37</v>
      </c>
      <c r="L342" s="13">
        <v>3138.95</v>
      </c>
      <c r="M342" s="13">
        <f t="shared" si="140"/>
        <v>29.894749999999998</v>
      </c>
      <c r="N342" s="13">
        <f t="shared" si="140"/>
        <v>29.894749999999998</v>
      </c>
      <c r="O342" s="13">
        <f t="shared" si="140"/>
        <v>29.894749999999998</v>
      </c>
      <c r="P342" s="13">
        <f t="shared" si="140"/>
        <v>29.894749999999998</v>
      </c>
      <c r="Q342" s="13">
        <f t="shared" si="140"/>
        <v>29.894749999999998</v>
      </c>
      <c r="R342" s="13">
        <f t="shared" si="140"/>
        <v>29.894749999999998</v>
      </c>
      <c r="S342" s="13">
        <f t="shared" si="140"/>
        <v>29.894749999999998</v>
      </c>
      <c r="T342" s="13">
        <f t="shared" si="140"/>
        <v>29.894749999999998</v>
      </c>
      <c r="U342" s="13">
        <f t="shared" si="140"/>
        <v>29.894749999999998</v>
      </c>
      <c r="V342" s="13">
        <f t="shared" ref="V342:V366" si="141">+$K342/$H342</f>
        <v>29.894749999999998</v>
      </c>
      <c r="W342" s="13">
        <f t="shared" ref="W342:X366" si="142">+$K342/$H342</f>
        <v>29.894749999999998</v>
      </c>
      <c r="X342" s="13">
        <f t="shared" si="142"/>
        <v>29.894749999999998</v>
      </c>
      <c r="Y342" s="13">
        <f t="shared" si="136"/>
        <v>358.73699999999991</v>
      </c>
      <c r="Z342" s="13">
        <f t="shared" si="137"/>
        <v>3497.6869999999999</v>
      </c>
      <c r="AA342" s="13">
        <f t="shared" si="138"/>
        <v>488.2829999999999</v>
      </c>
    </row>
    <row r="343" spans="3:27" ht="15" customHeight="1" x14ac:dyDescent="0.2">
      <c r="C343" s="10" t="s">
        <v>548</v>
      </c>
      <c r="D343" s="10" t="s">
        <v>549</v>
      </c>
      <c r="E343" s="11">
        <v>42453</v>
      </c>
      <c r="F343" s="11">
        <v>42461</v>
      </c>
      <c r="G343" s="12">
        <v>10</v>
      </c>
      <c r="H343" s="12">
        <v>120</v>
      </c>
      <c r="I343" s="13">
        <v>6541.06</v>
      </c>
      <c r="J343" s="13">
        <v>654.11</v>
      </c>
      <c r="K343" s="13">
        <f t="shared" si="139"/>
        <v>5886.9500000000007</v>
      </c>
      <c r="L343" s="13">
        <v>5151.08</v>
      </c>
      <c r="M343" s="13">
        <f t="shared" si="140"/>
        <v>49.057916666666671</v>
      </c>
      <c r="N343" s="13">
        <f t="shared" si="140"/>
        <v>49.057916666666671</v>
      </c>
      <c r="O343" s="13">
        <f t="shared" si="140"/>
        <v>49.057916666666671</v>
      </c>
      <c r="P343" s="13">
        <f t="shared" si="140"/>
        <v>49.057916666666671</v>
      </c>
      <c r="Q343" s="13">
        <f t="shared" si="140"/>
        <v>49.057916666666671</v>
      </c>
      <c r="R343" s="13">
        <f t="shared" si="140"/>
        <v>49.057916666666671</v>
      </c>
      <c r="S343" s="13">
        <f t="shared" si="140"/>
        <v>49.057916666666671</v>
      </c>
      <c r="T343" s="13">
        <f t="shared" si="140"/>
        <v>49.057916666666671</v>
      </c>
      <c r="U343" s="13">
        <f t="shared" si="140"/>
        <v>49.057916666666671</v>
      </c>
      <c r="V343" s="13">
        <f t="shared" si="141"/>
        <v>49.057916666666671</v>
      </c>
      <c r="W343" s="13">
        <f t="shared" si="142"/>
        <v>49.057916666666671</v>
      </c>
      <c r="X343" s="13">
        <f t="shared" si="142"/>
        <v>49.057916666666671</v>
      </c>
      <c r="Y343" s="13">
        <f t="shared" si="136"/>
        <v>588.69499999999994</v>
      </c>
      <c r="Z343" s="13">
        <f t="shared" si="137"/>
        <v>5739.7749999999996</v>
      </c>
      <c r="AA343" s="13">
        <f t="shared" si="138"/>
        <v>801.28500000000076</v>
      </c>
    </row>
    <row r="344" spans="3:27" ht="15" customHeight="1" x14ac:dyDescent="0.2">
      <c r="C344" s="10" t="s">
        <v>550</v>
      </c>
      <c r="D344" s="10" t="s">
        <v>551</v>
      </c>
      <c r="E344" s="11">
        <v>42550</v>
      </c>
      <c r="F344" s="11">
        <v>42552</v>
      </c>
      <c r="G344" s="12">
        <v>10</v>
      </c>
      <c r="H344" s="12">
        <v>120</v>
      </c>
      <c r="I344" s="13">
        <v>1500</v>
      </c>
      <c r="J344" s="13">
        <v>150</v>
      </c>
      <c r="K344" s="13">
        <f t="shared" si="139"/>
        <v>1350</v>
      </c>
      <c r="L344" s="13">
        <v>1147.5</v>
      </c>
      <c r="M344" s="13">
        <f t="shared" si="140"/>
        <v>11.25</v>
      </c>
      <c r="N344" s="13">
        <f t="shared" si="140"/>
        <v>11.25</v>
      </c>
      <c r="O344" s="13">
        <f t="shared" si="140"/>
        <v>11.25</v>
      </c>
      <c r="P344" s="13">
        <f t="shared" si="140"/>
        <v>11.25</v>
      </c>
      <c r="Q344" s="13">
        <f t="shared" si="140"/>
        <v>11.25</v>
      </c>
      <c r="R344" s="13">
        <f t="shared" si="140"/>
        <v>11.25</v>
      </c>
      <c r="S344" s="13">
        <f t="shared" si="140"/>
        <v>11.25</v>
      </c>
      <c r="T344" s="13">
        <f t="shared" si="140"/>
        <v>11.25</v>
      </c>
      <c r="U344" s="13">
        <f t="shared" si="140"/>
        <v>11.25</v>
      </c>
      <c r="V344" s="13">
        <f t="shared" si="141"/>
        <v>11.25</v>
      </c>
      <c r="W344" s="13">
        <f t="shared" si="142"/>
        <v>11.25</v>
      </c>
      <c r="X344" s="13">
        <f t="shared" si="142"/>
        <v>11.25</v>
      </c>
      <c r="Y344" s="13">
        <f t="shared" si="136"/>
        <v>135</v>
      </c>
      <c r="Z344" s="13">
        <f t="shared" si="137"/>
        <v>1282.5</v>
      </c>
      <c r="AA344" s="13">
        <f t="shared" si="138"/>
        <v>217.5</v>
      </c>
    </row>
    <row r="345" spans="3:27" ht="15" customHeight="1" x14ac:dyDescent="0.2">
      <c r="C345" s="10" t="s">
        <v>552</v>
      </c>
      <c r="D345" s="10" t="s">
        <v>553</v>
      </c>
      <c r="E345" s="11">
        <v>42741</v>
      </c>
      <c r="F345" s="11">
        <v>42736</v>
      </c>
      <c r="G345" s="12">
        <v>10</v>
      </c>
      <c r="H345" s="12">
        <v>120</v>
      </c>
      <c r="I345" s="13">
        <v>2000</v>
      </c>
      <c r="J345" s="13">
        <v>200</v>
      </c>
      <c r="K345" s="13">
        <f t="shared" si="139"/>
        <v>1800</v>
      </c>
      <c r="L345" s="13">
        <v>1440</v>
      </c>
      <c r="M345" s="13">
        <f t="shared" si="140"/>
        <v>15</v>
      </c>
      <c r="N345" s="13">
        <f t="shared" si="140"/>
        <v>15</v>
      </c>
      <c r="O345" s="13">
        <f t="shared" si="140"/>
        <v>15</v>
      </c>
      <c r="P345" s="13">
        <f t="shared" si="140"/>
        <v>15</v>
      </c>
      <c r="Q345" s="13">
        <f t="shared" si="140"/>
        <v>15</v>
      </c>
      <c r="R345" s="13">
        <f t="shared" si="140"/>
        <v>15</v>
      </c>
      <c r="S345" s="13">
        <f t="shared" si="140"/>
        <v>15</v>
      </c>
      <c r="T345" s="13">
        <f t="shared" si="140"/>
        <v>15</v>
      </c>
      <c r="U345" s="13">
        <f t="shared" si="140"/>
        <v>15</v>
      </c>
      <c r="V345" s="13">
        <f t="shared" si="141"/>
        <v>15</v>
      </c>
      <c r="W345" s="13">
        <f t="shared" si="142"/>
        <v>15</v>
      </c>
      <c r="X345" s="13">
        <f t="shared" si="142"/>
        <v>15</v>
      </c>
      <c r="Y345" s="13">
        <f t="shared" si="136"/>
        <v>180</v>
      </c>
      <c r="Z345" s="13">
        <f t="shared" si="137"/>
        <v>1620</v>
      </c>
      <c r="AA345" s="13">
        <f t="shared" si="138"/>
        <v>380</v>
      </c>
    </row>
    <row r="346" spans="3:27" ht="15" customHeight="1" x14ac:dyDescent="0.2">
      <c r="C346" s="10" t="s">
        <v>554</v>
      </c>
      <c r="D346" s="10" t="s">
        <v>555</v>
      </c>
      <c r="E346" s="11">
        <v>42895</v>
      </c>
      <c r="F346" s="11">
        <v>42887</v>
      </c>
      <c r="G346" s="12">
        <v>10</v>
      </c>
      <c r="H346" s="12">
        <v>120</v>
      </c>
      <c r="I346" s="13">
        <v>43978.9</v>
      </c>
      <c r="J346" s="13">
        <v>4397.8900000000003</v>
      </c>
      <c r="K346" s="13">
        <f t="shared" si="139"/>
        <v>39581.01</v>
      </c>
      <c r="L346" s="13">
        <v>30015.599999999999</v>
      </c>
      <c r="M346" s="13">
        <f t="shared" si="140"/>
        <v>329.84174999999999</v>
      </c>
      <c r="N346" s="13">
        <f t="shared" si="140"/>
        <v>329.84174999999999</v>
      </c>
      <c r="O346" s="13">
        <f t="shared" si="140"/>
        <v>329.84174999999999</v>
      </c>
      <c r="P346" s="13">
        <f t="shared" si="140"/>
        <v>329.84174999999999</v>
      </c>
      <c r="Q346" s="13">
        <f t="shared" si="140"/>
        <v>329.84174999999999</v>
      </c>
      <c r="R346" s="13">
        <f t="shared" si="140"/>
        <v>329.84174999999999</v>
      </c>
      <c r="S346" s="13">
        <f t="shared" si="140"/>
        <v>329.84174999999999</v>
      </c>
      <c r="T346" s="13">
        <f t="shared" si="140"/>
        <v>329.84174999999999</v>
      </c>
      <c r="U346" s="13">
        <f t="shared" si="140"/>
        <v>329.84174999999999</v>
      </c>
      <c r="V346" s="13">
        <f t="shared" si="141"/>
        <v>329.84174999999999</v>
      </c>
      <c r="W346" s="13">
        <f t="shared" si="142"/>
        <v>329.84174999999999</v>
      </c>
      <c r="X346" s="13">
        <f t="shared" si="142"/>
        <v>329.84174999999999</v>
      </c>
      <c r="Y346" s="13">
        <f t="shared" si="136"/>
        <v>3958.1010000000001</v>
      </c>
      <c r="Z346" s="13">
        <f t="shared" si="137"/>
        <v>33973.701000000001</v>
      </c>
      <c r="AA346" s="13">
        <f t="shared" si="138"/>
        <v>10005.199000000001</v>
      </c>
    </row>
    <row r="347" spans="3:27" ht="15" customHeight="1" x14ac:dyDescent="0.2">
      <c r="C347" s="10" t="s">
        <v>556</v>
      </c>
      <c r="D347" s="10" t="s">
        <v>557</v>
      </c>
      <c r="E347" s="11">
        <v>42921</v>
      </c>
      <c r="F347" s="11">
        <v>42917</v>
      </c>
      <c r="G347" s="12">
        <v>10</v>
      </c>
      <c r="H347" s="12">
        <v>120</v>
      </c>
      <c r="I347" s="13">
        <v>19191.509999999998</v>
      </c>
      <c r="J347" s="13">
        <v>1919.15</v>
      </c>
      <c r="K347" s="13">
        <f t="shared" si="139"/>
        <v>17272.359999999997</v>
      </c>
      <c r="L347" s="13">
        <v>12954.27</v>
      </c>
      <c r="M347" s="13">
        <f t="shared" si="140"/>
        <v>143.93633333333329</v>
      </c>
      <c r="N347" s="13">
        <f t="shared" si="140"/>
        <v>143.93633333333329</v>
      </c>
      <c r="O347" s="13">
        <f t="shared" si="140"/>
        <v>143.93633333333329</v>
      </c>
      <c r="P347" s="13">
        <f t="shared" si="140"/>
        <v>143.93633333333329</v>
      </c>
      <c r="Q347" s="13">
        <f t="shared" si="140"/>
        <v>143.93633333333329</v>
      </c>
      <c r="R347" s="13">
        <f t="shared" si="140"/>
        <v>143.93633333333329</v>
      </c>
      <c r="S347" s="13">
        <f t="shared" si="140"/>
        <v>143.93633333333329</v>
      </c>
      <c r="T347" s="13">
        <f t="shared" si="140"/>
        <v>143.93633333333329</v>
      </c>
      <c r="U347" s="13">
        <f t="shared" si="140"/>
        <v>143.93633333333329</v>
      </c>
      <c r="V347" s="13">
        <f t="shared" si="141"/>
        <v>143.93633333333329</v>
      </c>
      <c r="W347" s="13">
        <f t="shared" si="142"/>
        <v>143.93633333333329</v>
      </c>
      <c r="X347" s="13">
        <f t="shared" si="142"/>
        <v>143.93633333333329</v>
      </c>
      <c r="Y347" s="13">
        <f t="shared" si="136"/>
        <v>1727.2359999999996</v>
      </c>
      <c r="Z347" s="13">
        <f t="shared" si="137"/>
        <v>14681.505999999999</v>
      </c>
      <c r="AA347" s="13">
        <f t="shared" si="138"/>
        <v>4510.003999999999</v>
      </c>
    </row>
    <row r="348" spans="3:27" ht="15" customHeight="1" x14ac:dyDescent="0.2">
      <c r="C348" s="10" t="s">
        <v>558</v>
      </c>
      <c r="D348" s="10" t="s">
        <v>559</v>
      </c>
      <c r="E348" s="11">
        <v>43082</v>
      </c>
      <c r="F348" s="11">
        <v>43101</v>
      </c>
      <c r="G348" s="12">
        <v>10</v>
      </c>
      <c r="H348" s="12">
        <v>120</v>
      </c>
      <c r="I348" s="13">
        <v>79303.710000000006</v>
      </c>
      <c r="J348" s="13">
        <v>7930.37</v>
      </c>
      <c r="K348" s="13">
        <f t="shared" si="139"/>
        <v>71373.340000000011</v>
      </c>
      <c r="L348" s="13">
        <v>49961.34</v>
      </c>
      <c r="M348" s="13">
        <f t="shared" si="140"/>
        <v>594.77783333333343</v>
      </c>
      <c r="N348" s="13">
        <f t="shared" si="140"/>
        <v>594.77783333333343</v>
      </c>
      <c r="O348" s="13">
        <f t="shared" si="140"/>
        <v>594.77783333333343</v>
      </c>
      <c r="P348" s="13">
        <f t="shared" si="140"/>
        <v>594.77783333333343</v>
      </c>
      <c r="Q348" s="13">
        <f t="shared" si="140"/>
        <v>594.77783333333343</v>
      </c>
      <c r="R348" s="13">
        <f t="shared" si="140"/>
        <v>594.77783333333343</v>
      </c>
      <c r="S348" s="13">
        <f t="shared" si="140"/>
        <v>594.77783333333343</v>
      </c>
      <c r="T348" s="13">
        <f t="shared" si="140"/>
        <v>594.77783333333343</v>
      </c>
      <c r="U348" s="13">
        <f t="shared" si="140"/>
        <v>594.77783333333343</v>
      </c>
      <c r="V348" s="13">
        <f t="shared" si="141"/>
        <v>594.77783333333343</v>
      </c>
      <c r="W348" s="13">
        <f t="shared" si="142"/>
        <v>594.77783333333343</v>
      </c>
      <c r="X348" s="13">
        <f t="shared" si="142"/>
        <v>594.77783333333343</v>
      </c>
      <c r="Y348" s="13">
        <f t="shared" si="136"/>
        <v>7137.3340000000017</v>
      </c>
      <c r="Z348" s="13">
        <f t="shared" si="137"/>
        <v>57098.673999999999</v>
      </c>
      <c r="AA348" s="13">
        <f t="shared" si="138"/>
        <v>22205.036000000007</v>
      </c>
    </row>
    <row r="349" spans="3:27" ht="15" customHeight="1" x14ac:dyDescent="0.2">
      <c r="C349" s="10" t="s">
        <v>560</v>
      </c>
      <c r="D349" s="10" t="s">
        <v>561</v>
      </c>
      <c r="E349" s="11">
        <v>43100</v>
      </c>
      <c r="F349" s="11">
        <v>43101</v>
      </c>
      <c r="G349" s="12">
        <v>10</v>
      </c>
      <c r="H349" s="12">
        <v>120</v>
      </c>
      <c r="I349" s="13">
        <v>2078.9499999999998</v>
      </c>
      <c r="J349" s="13">
        <v>207.9</v>
      </c>
      <c r="K349" s="13">
        <f t="shared" si="139"/>
        <v>1871.0499999999997</v>
      </c>
      <c r="L349" s="13">
        <v>1309.74</v>
      </c>
      <c r="M349" s="13">
        <f t="shared" si="140"/>
        <v>15.592083333333331</v>
      </c>
      <c r="N349" s="13">
        <f t="shared" si="140"/>
        <v>15.592083333333331</v>
      </c>
      <c r="O349" s="13">
        <f t="shared" si="140"/>
        <v>15.592083333333331</v>
      </c>
      <c r="P349" s="13">
        <f t="shared" si="140"/>
        <v>15.592083333333331</v>
      </c>
      <c r="Q349" s="13">
        <f t="shared" si="140"/>
        <v>15.592083333333331</v>
      </c>
      <c r="R349" s="13">
        <f t="shared" si="140"/>
        <v>15.592083333333331</v>
      </c>
      <c r="S349" s="13">
        <f t="shared" si="140"/>
        <v>15.592083333333331</v>
      </c>
      <c r="T349" s="13">
        <f t="shared" si="140"/>
        <v>15.592083333333331</v>
      </c>
      <c r="U349" s="13">
        <f t="shared" si="140"/>
        <v>15.592083333333331</v>
      </c>
      <c r="V349" s="13">
        <f t="shared" si="141"/>
        <v>15.592083333333331</v>
      </c>
      <c r="W349" s="13">
        <f t="shared" si="142"/>
        <v>15.592083333333331</v>
      </c>
      <c r="X349" s="13">
        <f t="shared" si="142"/>
        <v>15.592083333333331</v>
      </c>
      <c r="Y349" s="13">
        <f t="shared" si="136"/>
        <v>187.10499999999999</v>
      </c>
      <c r="Z349" s="13">
        <f t="shared" si="137"/>
        <v>1496.845</v>
      </c>
      <c r="AA349" s="13">
        <f t="shared" si="138"/>
        <v>582.10499999999979</v>
      </c>
    </row>
    <row r="350" spans="3:27" ht="15" customHeight="1" x14ac:dyDescent="0.2">
      <c r="C350" s="10" t="s">
        <v>562</v>
      </c>
      <c r="D350" s="10" t="s">
        <v>563</v>
      </c>
      <c r="E350" s="11">
        <v>43100</v>
      </c>
      <c r="F350" s="11">
        <v>43101</v>
      </c>
      <c r="G350" s="12">
        <v>10</v>
      </c>
      <c r="H350" s="12">
        <v>120</v>
      </c>
      <c r="I350" s="13">
        <v>1022.48</v>
      </c>
      <c r="J350" s="13">
        <v>102.25</v>
      </c>
      <c r="K350" s="13">
        <f t="shared" si="139"/>
        <v>920.23</v>
      </c>
      <c r="L350" s="13">
        <v>644.16</v>
      </c>
      <c r="M350" s="13">
        <f t="shared" si="140"/>
        <v>7.6685833333333333</v>
      </c>
      <c r="N350" s="13">
        <f t="shared" si="140"/>
        <v>7.6685833333333333</v>
      </c>
      <c r="O350" s="13">
        <f t="shared" si="140"/>
        <v>7.6685833333333333</v>
      </c>
      <c r="P350" s="13">
        <f t="shared" si="140"/>
        <v>7.6685833333333333</v>
      </c>
      <c r="Q350" s="13">
        <f t="shared" si="140"/>
        <v>7.6685833333333333</v>
      </c>
      <c r="R350" s="13">
        <f t="shared" si="140"/>
        <v>7.6685833333333333</v>
      </c>
      <c r="S350" s="13">
        <f t="shared" si="140"/>
        <v>7.6685833333333333</v>
      </c>
      <c r="T350" s="13">
        <f t="shared" si="140"/>
        <v>7.6685833333333333</v>
      </c>
      <c r="U350" s="13">
        <f t="shared" si="140"/>
        <v>7.6685833333333333</v>
      </c>
      <c r="V350" s="13">
        <f t="shared" si="141"/>
        <v>7.6685833333333333</v>
      </c>
      <c r="W350" s="13">
        <f t="shared" si="142"/>
        <v>7.6685833333333333</v>
      </c>
      <c r="X350" s="13">
        <f t="shared" si="142"/>
        <v>7.6685833333333333</v>
      </c>
      <c r="Y350" s="13">
        <f t="shared" si="136"/>
        <v>92.022999999999982</v>
      </c>
      <c r="Z350" s="13">
        <f t="shared" si="137"/>
        <v>736.18299999999999</v>
      </c>
      <c r="AA350" s="13">
        <f t="shared" si="138"/>
        <v>286.29700000000003</v>
      </c>
    </row>
    <row r="351" spans="3:27" ht="15" customHeight="1" x14ac:dyDescent="0.2">
      <c r="C351" s="10" t="s">
        <v>554</v>
      </c>
      <c r="D351" s="10" t="s">
        <v>564</v>
      </c>
      <c r="E351" s="11">
        <v>43111</v>
      </c>
      <c r="F351" s="11">
        <v>43101</v>
      </c>
      <c r="G351" s="12">
        <v>5</v>
      </c>
      <c r="H351" s="12">
        <v>240</v>
      </c>
      <c r="I351" s="13">
        <v>226350</v>
      </c>
      <c r="J351" s="13">
        <v>0</v>
      </c>
      <c r="K351" s="13">
        <f t="shared" si="139"/>
        <v>226350</v>
      </c>
      <c r="L351" s="13">
        <v>79222.5</v>
      </c>
      <c r="M351" s="13">
        <f t="shared" si="140"/>
        <v>943.125</v>
      </c>
      <c r="N351" s="13">
        <f t="shared" si="140"/>
        <v>943.125</v>
      </c>
      <c r="O351" s="13">
        <f t="shared" si="140"/>
        <v>943.125</v>
      </c>
      <c r="P351" s="13">
        <f t="shared" si="140"/>
        <v>943.125</v>
      </c>
      <c r="Q351" s="13">
        <f t="shared" si="140"/>
        <v>943.125</v>
      </c>
      <c r="R351" s="13">
        <f t="shared" si="140"/>
        <v>943.125</v>
      </c>
      <c r="S351" s="13">
        <f t="shared" si="140"/>
        <v>943.125</v>
      </c>
      <c r="T351" s="13">
        <f t="shared" si="140"/>
        <v>943.125</v>
      </c>
      <c r="U351" s="13">
        <f t="shared" si="140"/>
        <v>943.125</v>
      </c>
      <c r="V351" s="13">
        <f t="shared" si="141"/>
        <v>943.125</v>
      </c>
      <c r="W351" s="13">
        <f t="shared" si="142"/>
        <v>943.125</v>
      </c>
      <c r="X351" s="13">
        <f t="shared" si="142"/>
        <v>943.125</v>
      </c>
      <c r="Y351" s="13">
        <f t="shared" si="136"/>
        <v>11317.5</v>
      </c>
      <c r="Z351" s="13">
        <f t="shared" si="137"/>
        <v>90540</v>
      </c>
      <c r="AA351" s="13">
        <f t="shared" si="138"/>
        <v>135810</v>
      </c>
    </row>
    <row r="352" spans="3:27" ht="15" customHeight="1" x14ac:dyDescent="0.2">
      <c r="C352" s="10" t="s">
        <v>556</v>
      </c>
      <c r="D352" s="10" t="s">
        <v>564</v>
      </c>
      <c r="E352" s="11">
        <v>43111</v>
      </c>
      <c r="F352" s="11">
        <v>43466</v>
      </c>
      <c r="G352" s="12">
        <v>5</v>
      </c>
      <c r="H352" s="12">
        <v>240</v>
      </c>
      <c r="I352" s="13">
        <v>27162</v>
      </c>
      <c r="J352" s="13">
        <v>0</v>
      </c>
      <c r="K352" s="13">
        <f t="shared" si="139"/>
        <v>27162</v>
      </c>
      <c r="L352" s="13">
        <v>8148.6</v>
      </c>
      <c r="M352" s="13">
        <f t="shared" si="140"/>
        <v>113.175</v>
      </c>
      <c r="N352" s="13">
        <f t="shared" si="140"/>
        <v>113.175</v>
      </c>
      <c r="O352" s="13">
        <f t="shared" si="140"/>
        <v>113.175</v>
      </c>
      <c r="P352" s="13">
        <f t="shared" si="140"/>
        <v>113.175</v>
      </c>
      <c r="Q352" s="13">
        <f t="shared" si="140"/>
        <v>113.175</v>
      </c>
      <c r="R352" s="13">
        <f t="shared" si="140"/>
        <v>113.175</v>
      </c>
      <c r="S352" s="13">
        <f t="shared" si="140"/>
        <v>113.175</v>
      </c>
      <c r="T352" s="13">
        <f t="shared" si="140"/>
        <v>113.175</v>
      </c>
      <c r="U352" s="13">
        <f t="shared" si="140"/>
        <v>113.175</v>
      </c>
      <c r="V352" s="13">
        <f t="shared" si="141"/>
        <v>113.175</v>
      </c>
      <c r="W352" s="13">
        <f t="shared" si="142"/>
        <v>113.175</v>
      </c>
      <c r="X352" s="13">
        <f t="shared" si="142"/>
        <v>113.175</v>
      </c>
      <c r="Y352" s="13">
        <f t="shared" si="136"/>
        <v>1358.0999999999997</v>
      </c>
      <c r="Z352" s="13">
        <f t="shared" si="137"/>
        <v>9506.7000000000007</v>
      </c>
      <c r="AA352" s="13">
        <f t="shared" si="138"/>
        <v>17655.3</v>
      </c>
    </row>
    <row r="353" spans="3:27" ht="15" customHeight="1" x14ac:dyDescent="0.2">
      <c r="C353" s="10" t="s">
        <v>565</v>
      </c>
      <c r="D353" s="10" t="s">
        <v>566</v>
      </c>
      <c r="E353" s="11">
        <v>43466</v>
      </c>
      <c r="F353" s="11">
        <v>43466</v>
      </c>
      <c r="G353" s="12">
        <v>10</v>
      </c>
      <c r="H353" s="12">
        <v>120</v>
      </c>
      <c r="I353" s="13">
        <v>1700</v>
      </c>
      <c r="J353" s="13">
        <v>170</v>
      </c>
      <c r="K353" s="13">
        <f t="shared" si="139"/>
        <v>1530</v>
      </c>
      <c r="L353" s="13">
        <v>918</v>
      </c>
      <c r="M353" s="13">
        <f t="shared" si="140"/>
        <v>12.75</v>
      </c>
      <c r="N353" s="13">
        <f t="shared" si="140"/>
        <v>12.75</v>
      </c>
      <c r="O353" s="13">
        <f t="shared" si="140"/>
        <v>12.75</v>
      </c>
      <c r="P353" s="13">
        <f t="shared" si="140"/>
        <v>12.75</v>
      </c>
      <c r="Q353" s="13">
        <f t="shared" si="140"/>
        <v>12.75</v>
      </c>
      <c r="R353" s="13">
        <f t="shared" si="140"/>
        <v>12.75</v>
      </c>
      <c r="S353" s="13">
        <f t="shared" si="140"/>
        <v>12.75</v>
      </c>
      <c r="T353" s="13">
        <f t="shared" si="140"/>
        <v>12.75</v>
      </c>
      <c r="U353" s="13">
        <f t="shared" si="140"/>
        <v>12.75</v>
      </c>
      <c r="V353" s="13">
        <f t="shared" si="141"/>
        <v>12.75</v>
      </c>
      <c r="W353" s="13">
        <f t="shared" si="142"/>
        <v>12.75</v>
      </c>
      <c r="X353" s="13">
        <f t="shared" si="142"/>
        <v>12.75</v>
      </c>
      <c r="Y353" s="13">
        <f t="shared" si="136"/>
        <v>153</v>
      </c>
      <c r="Z353" s="13">
        <f t="shared" si="137"/>
        <v>1071</v>
      </c>
      <c r="AA353" s="13">
        <f t="shared" si="138"/>
        <v>629</v>
      </c>
    </row>
    <row r="354" spans="3:27" ht="15" customHeight="1" x14ac:dyDescent="0.2">
      <c r="C354" s="10" t="s">
        <v>567</v>
      </c>
      <c r="D354" s="10" t="s">
        <v>568</v>
      </c>
      <c r="E354" s="11">
        <v>43466</v>
      </c>
      <c r="F354" s="11">
        <v>43466</v>
      </c>
      <c r="G354" s="12">
        <v>10</v>
      </c>
      <c r="H354" s="12">
        <v>120</v>
      </c>
      <c r="I354" s="13">
        <v>13392.86</v>
      </c>
      <c r="J354" s="13">
        <v>1339.29</v>
      </c>
      <c r="K354" s="13">
        <f t="shared" si="139"/>
        <v>12053.57</v>
      </c>
      <c r="L354" s="13">
        <v>7232.14</v>
      </c>
      <c r="M354" s="13">
        <f t="shared" si="140"/>
        <v>100.44641666666666</v>
      </c>
      <c r="N354" s="13">
        <f t="shared" si="140"/>
        <v>100.44641666666666</v>
      </c>
      <c r="O354" s="13">
        <f t="shared" si="140"/>
        <v>100.44641666666666</v>
      </c>
      <c r="P354" s="13">
        <f t="shared" si="140"/>
        <v>100.44641666666666</v>
      </c>
      <c r="Q354" s="13">
        <f t="shared" si="140"/>
        <v>100.44641666666666</v>
      </c>
      <c r="R354" s="13">
        <f t="shared" si="140"/>
        <v>100.44641666666666</v>
      </c>
      <c r="S354" s="13">
        <f t="shared" si="140"/>
        <v>100.44641666666666</v>
      </c>
      <c r="T354" s="13">
        <f t="shared" si="140"/>
        <v>100.44641666666666</v>
      </c>
      <c r="U354" s="13">
        <f t="shared" si="140"/>
        <v>100.44641666666666</v>
      </c>
      <c r="V354" s="13">
        <f t="shared" si="141"/>
        <v>100.44641666666666</v>
      </c>
      <c r="W354" s="13">
        <f t="shared" si="142"/>
        <v>100.44641666666666</v>
      </c>
      <c r="X354" s="13">
        <f t="shared" si="142"/>
        <v>100.44641666666666</v>
      </c>
      <c r="Y354" s="13">
        <f t="shared" si="136"/>
        <v>1205.357</v>
      </c>
      <c r="Z354" s="13">
        <f t="shared" si="137"/>
        <v>8437.4969999999994</v>
      </c>
      <c r="AA354" s="13">
        <f t="shared" si="138"/>
        <v>4955.3630000000012</v>
      </c>
    </row>
    <row r="355" spans="3:27" ht="15" customHeight="1" x14ac:dyDescent="0.2">
      <c r="C355" s="10" t="s">
        <v>569</v>
      </c>
      <c r="D355" s="10" t="s">
        <v>469</v>
      </c>
      <c r="E355" s="11">
        <v>43466</v>
      </c>
      <c r="F355" s="11">
        <v>43466</v>
      </c>
      <c r="G355" s="12">
        <v>10</v>
      </c>
      <c r="H355" s="12">
        <v>120</v>
      </c>
      <c r="I355" s="13">
        <v>9310.4</v>
      </c>
      <c r="J355" s="13">
        <v>931.04</v>
      </c>
      <c r="K355" s="13">
        <f t="shared" si="139"/>
        <v>8379.36</v>
      </c>
      <c r="L355" s="13">
        <v>5027.62</v>
      </c>
      <c r="M355" s="13">
        <f t="shared" si="140"/>
        <v>69.828000000000003</v>
      </c>
      <c r="N355" s="13">
        <f t="shared" si="140"/>
        <v>69.828000000000003</v>
      </c>
      <c r="O355" s="13">
        <f t="shared" si="140"/>
        <v>69.828000000000003</v>
      </c>
      <c r="P355" s="13">
        <f t="shared" si="140"/>
        <v>69.828000000000003</v>
      </c>
      <c r="Q355" s="13">
        <f t="shared" si="140"/>
        <v>69.828000000000003</v>
      </c>
      <c r="R355" s="13">
        <f t="shared" si="140"/>
        <v>69.828000000000003</v>
      </c>
      <c r="S355" s="13">
        <f t="shared" si="140"/>
        <v>69.828000000000003</v>
      </c>
      <c r="T355" s="13">
        <f t="shared" si="140"/>
        <v>69.828000000000003</v>
      </c>
      <c r="U355" s="13">
        <f t="shared" si="140"/>
        <v>69.828000000000003</v>
      </c>
      <c r="V355" s="13">
        <f t="shared" si="141"/>
        <v>69.828000000000003</v>
      </c>
      <c r="W355" s="13">
        <f t="shared" si="142"/>
        <v>69.828000000000003</v>
      </c>
      <c r="X355" s="13">
        <f t="shared" si="142"/>
        <v>69.828000000000003</v>
      </c>
      <c r="Y355" s="13">
        <f t="shared" si="136"/>
        <v>837.93599999999981</v>
      </c>
      <c r="Z355" s="13">
        <f t="shared" si="137"/>
        <v>5865.5559999999996</v>
      </c>
      <c r="AA355" s="13">
        <f t="shared" si="138"/>
        <v>3444.8440000000001</v>
      </c>
    </row>
    <row r="356" spans="3:27" ht="15" customHeight="1" x14ac:dyDescent="0.2">
      <c r="C356" s="10" t="s">
        <v>570</v>
      </c>
      <c r="D356" s="10" t="s">
        <v>571</v>
      </c>
      <c r="E356" s="11">
        <v>43466</v>
      </c>
      <c r="F356" s="11">
        <v>43466</v>
      </c>
      <c r="G356" s="12">
        <v>10</v>
      </c>
      <c r="H356" s="12">
        <v>120</v>
      </c>
      <c r="I356" s="13">
        <v>3000</v>
      </c>
      <c r="J356" s="13">
        <v>300</v>
      </c>
      <c r="K356" s="13">
        <f t="shared" si="139"/>
        <v>2700</v>
      </c>
      <c r="L356" s="13">
        <v>1620</v>
      </c>
      <c r="M356" s="13">
        <f t="shared" si="140"/>
        <v>22.5</v>
      </c>
      <c r="N356" s="13">
        <f t="shared" si="140"/>
        <v>22.5</v>
      </c>
      <c r="O356" s="13">
        <f t="shared" si="140"/>
        <v>22.5</v>
      </c>
      <c r="P356" s="13">
        <f t="shared" si="140"/>
        <v>22.5</v>
      </c>
      <c r="Q356" s="13">
        <f t="shared" si="140"/>
        <v>22.5</v>
      </c>
      <c r="R356" s="13">
        <f t="shared" si="140"/>
        <v>22.5</v>
      </c>
      <c r="S356" s="13">
        <f t="shared" si="140"/>
        <v>22.5</v>
      </c>
      <c r="T356" s="13">
        <f t="shared" si="140"/>
        <v>22.5</v>
      </c>
      <c r="U356" s="13">
        <f t="shared" si="140"/>
        <v>22.5</v>
      </c>
      <c r="V356" s="13">
        <f t="shared" si="141"/>
        <v>22.5</v>
      </c>
      <c r="W356" s="13">
        <f t="shared" si="142"/>
        <v>22.5</v>
      </c>
      <c r="X356" s="13">
        <f t="shared" si="142"/>
        <v>22.5</v>
      </c>
      <c r="Y356" s="13">
        <f t="shared" si="136"/>
        <v>270</v>
      </c>
      <c r="Z356" s="13">
        <f t="shared" si="137"/>
        <v>1890</v>
      </c>
      <c r="AA356" s="13">
        <f t="shared" si="138"/>
        <v>1110</v>
      </c>
    </row>
    <row r="357" spans="3:27" ht="15" customHeight="1" x14ac:dyDescent="0.2">
      <c r="C357" s="10" t="s">
        <v>572</v>
      </c>
      <c r="D357" s="10" t="s">
        <v>573</v>
      </c>
      <c r="E357" s="11">
        <v>44245</v>
      </c>
      <c r="F357" s="11">
        <v>44562</v>
      </c>
      <c r="G357" s="12">
        <v>10</v>
      </c>
      <c r="H357" s="12">
        <v>120</v>
      </c>
      <c r="I357" s="13">
        <v>44642.86</v>
      </c>
      <c r="J357" s="13">
        <v>0</v>
      </c>
      <c r="K357" s="13">
        <f t="shared" si="139"/>
        <v>44642.86</v>
      </c>
      <c r="L357" s="13">
        <v>13392.86</v>
      </c>
      <c r="M357" s="13">
        <f t="shared" si="140"/>
        <v>372.02383333333336</v>
      </c>
      <c r="N357" s="13">
        <f t="shared" si="140"/>
        <v>372.02383333333336</v>
      </c>
      <c r="O357" s="13">
        <f t="shared" si="140"/>
        <v>372.02383333333336</v>
      </c>
      <c r="P357" s="13">
        <f t="shared" si="140"/>
        <v>372.02383333333336</v>
      </c>
      <c r="Q357" s="13">
        <f t="shared" si="140"/>
        <v>372.02383333333336</v>
      </c>
      <c r="R357" s="13">
        <f t="shared" si="140"/>
        <v>372.02383333333336</v>
      </c>
      <c r="S357" s="13">
        <f t="shared" si="140"/>
        <v>372.02383333333336</v>
      </c>
      <c r="T357" s="13">
        <f t="shared" si="140"/>
        <v>372.02383333333336</v>
      </c>
      <c r="U357" s="13">
        <f t="shared" si="140"/>
        <v>372.02383333333336</v>
      </c>
      <c r="V357" s="13">
        <f t="shared" si="141"/>
        <v>372.02383333333336</v>
      </c>
      <c r="W357" s="13">
        <f t="shared" si="142"/>
        <v>372.02383333333336</v>
      </c>
      <c r="X357" s="13">
        <f t="shared" si="142"/>
        <v>372.02383333333336</v>
      </c>
      <c r="Y357" s="13">
        <f t="shared" si="136"/>
        <v>4464.2859999999991</v>
      </c>
      <c r="Z357" s="13">
        <f t="shared" si="137"/>
        <v>17857.146000000001</v>
      </c>
      <c r="AA357" s="13">
        <f t="shared" si="138"/>
        <v>26785.714</v>
      </c>
    </row>
    <row r="358" spans="3:27" ht="15" customHeight="1" x14ac:dyDescent="0.2">
      <c r="C358" s="10" t="s">
        <v>574</v>
      </c>
      <c r="D358" s="10" t="s">
        <v>575</v>
      </c>
      <c r="E358" s="11">
        <v>44287</v>
      </c>
      <c r="F358" s="11">
        <v>44562</v>
      </c>
      <c r="G358" s="12">
        <v>10</v>
      </c>
      <c r="H358" s="12">
        <v>120</v>
      </c>
      <c r="I358" s="13">
        <v>134357.59</v>
      </c>
      <c r="J358" s="13">
        <v>0</v>
      </c>
      <c r="K358" s="13">
        <f t="shared" si="139"/>
        <v>134357.59</v>
      </c>
      <c r="L358" s="13">
        <v>40307.279999999999</v>
      </c>
      <c r="M358" s="13">
        <f t="shared" si="140"/>
        <v>1119.6465833333334</v>
      </c>
      <c r="N358" s="13">
        <f t="shared" si="140"/>
        <v>1119.6465833333334</v>
      </c>
      <c r="O358" s="13">
        <f t="shared" si="140"/>
        <v>1119.6465833333334</v>
      </c>
      <c r="P358" s="13">
        <f t="shared" si="140"/>
        <v>1119.6465833333334</v>
      </c>
      <c r="Q358" s="13">
        <f t="shared" si="140"/>
        <v>1119.6465833333334</v>
      </c>
      <c r="R358" s="13">
        <f t="shared" si="140"/>
        <v>1119.6465833333334</v>
      </c>
      <c r="S358" s="13">
        <f t="shared" si="140"/>
        <v>1119.6465833333334</v>
      </c>
      <c r="T358" s="13">
        <f t="shared" si="140"/>
        <v>1119.6465833333334</v>
      </c>
      <c r="U358" s="13">
        <f t="shared" si="140"/>
        <v>1119.6465833333334</v>
      </c>
      <c r="V358" s="13">
        <f t="shared" si="141"/>
        <v>1119.6465833333334</v>
      </c>
      <c r="W358" s="13">
        <f t="shared" si="142"/>
        <v>1119.6465833333334</v>
      </c>
      <c r="X358" s="13">
        <f t="shared" si="142"/>
        <v>1119.6465833333334</v>
      </c>
      <c r="Y358" s="13">
        <f t="shared" si="136"/>
        <v>13435.759</v>
      </c>
      <c r="Z358" s="13">
        <f t="shared" si="137"/>
        <v>53743.038999999997</v>
      </c>
      <c r="AA358" s="13">
        <f t="shared" si="138"/>
        <v>80614.551000000007</v>
      </c>
    </row>
    <row r="359" spans="3:27" ht="15" customHeight="1" x14ac:dyDescent="0.2">
      <c r="C359" s="10" t="s">
        <v>576</v>
      </c>
      <c r="D359" s="10" t="s">
        <v>577</v>
      </c>
      <c r="E359" s="11">
        <v>44439</v>
      </c>
      <c r="F359" s="11">
        <v>44562</v>
      </c>
      <c r="G359" s="12">
        <v>10</v>
      </c>
      <c r="H359" s="12">
        <v>120</v>
      </c>
      <c r="I359" s="13">
        <v>24268.45</v>
      </c>
      <c r="J359" s="13">
        <v>0</v>
      </c>
      <c r="K359" s="13">
        <f t="shared" si="139"/>
        <v>24268.45</v>
      </c>
      <c r="L359" s="13">
        <v>7280.53</v>
      </c>
      <c r="M359" s="13">
        <f t="shared" si="140"/>
        <v>202.23708333333335</v>
      </c>
      <c r="N359" s="13">
        <f t="shared" si="140"/>
        <v>202.23708333333335</v>
      </c>
      <c r="O359" s="13">
        <f t="shared" si="140"/>
        <v>202.23708333333335</v>
      </c>
      <c r="P359" s="13">
        <f t="shared" si="140"/>
        <v>202.23708333333335</v>
      </c>
      <c r="Q359" s="13">
        <f t="shared" si="140"/>
        <v>202.23708333333335</v>
      </c>
      <c r="R359" s="13">
        <f t="shared" si="140"/>
        <v>202.23708333333335</v>
      </c>
      <c r="S359" s="13">
        <f t="shared" si="140"/>
        <v>202.23708333333335</v>
      </c>
      <c r="T359" s="13">
        <f t="shared" si="140"/>
        <v>202.23708333333335</v>
      </c>
      <c r="U359" s="13">
        <f t="shared" si="140"/>
        <v>202.23708333333335</v>
      </c>
      <c r="V359" s="13">
        <f t="shared" si="141"/>
        <v>202.23708333333335</v>
      </c>
      <c r="W359" s="13">
        <f t="shared" si="142"/>
        <v>202.23708333333335</v>
      </c>
      <c r="X359" s="13">
        <f t="shared" si="142"/>
        <v>202.23708333333335</v>
      </c>
      <c r="Y359" s="13">
        <f t="shared" si="136"/>
        <v>2426.8450000000007</v>
      </c>
      <c r="Z359" s="13">
        <f t="shared" si="137"/>
        <v>9707.375</v>
      </c>
      <c r="AA359" s="13">
        <f t="shared" si="138"/>
        <v>14561.075000000001</v>
      </c>
    </row>
    <row r="360" spans="3:27" ht="15" customHeight="1" x14ac:dyDescent="0.2">
      <c r="C360" s="10" t="s">
        <v>578</v>
      </c>
      <c r="D360" s="10" t="s">
        <v>579</v>
      </c>
      <c r="E360" s="11">
        <v>44754</v>
      </c>
      <c r="F360" s="11">
        <v>44743</v>
      </c>
      <c r="G360" s="12">
        <v>10</v>
      </c>
      <c r="H360" s="12">
        <v>120</v>
      </c>
      <c r="I360" s="13">
        <v>27678.57</v>
      </c>
      <c r="J360" s="13">
        <v>2767.86</v>
      </c>
      <c r="K360" s="13">
        <f t="shared" si="139"/>
        <v>24910.71</v>
      </c>
      <c r="L360" s="13">
        <v>6227.67</v>
      </c>
      <c r="M360" s="13">
        <f t="shared" si="140"/>
        <v>207.58924999999999</v>
      </c>
      <c r="N360" s="13">
        <f t="shared" si="140"/>
        <v>207.58924999999999</v>
      </c>
      <c r="O360" s="13">
        <f t="shared" si="140"/>
        <v>207.58924999999999</v>
      </c>
      <c r="P360" s="13">
        <f t="shared" si="140"/>
        <v>207.58924999999999</v>
      </c>
      <c r="Q360" s="13">
        <f t="shared" si="140"/>
        <v>207.58924999999999</v>
      </c>
      <c r="R360" s="13">
        <f t="shared" si="140"/>
        <v>207.58924999999999</v>
      </c>
      <c r="S360" s="13">
        <f t="shared" si="140"/>
        <v>207.58924999999999</v>
      </c>
      <c r="T360" s="13">
        <f t="shared" si="140"/>
        <v>207.58924999999999</v>
      </c>
      <c r="U360" s="13">
        <f t="shared" si="140"/>
        <v>207.58924999999999</v>
      </c>
      <c r="V360" s="13">
        <f t="shared" si="141"/>
        <v>207.58924999999999</v>
      </c>
      <c r="W360" s="13">
        <f t="shared" si="142"/>
        <v>207.58924999999999</v>
      </c>
      <c r="X360" s="13">
        <f t="shared" si="142"/>
        <v>207.58924999999999</v>
      </c>
      <c r="Y360" s="13">
        <f t="shared" si="136"/>
        <v>2491.0709999999999</v>
      </c>
      <c r="Z360" s="13">
        <f t="shared" si="137"/>
        <v>8718.741</v>
      </c>
      <c r="AA360" s="13">
        <f t="shared" si="138"/>
        <v>18959.828999999998</v>
      </c>
    </row>
    <row r="361" spans="3:27" ht="15" customHeight="1" x14ac:dyDescent="0.2">
      <c r="C361" s="10" t="s">
        <v>580</v>
      </c>
      <c r="D361" s="10" t="s">
        <v>581</v>
      </c>
      <c r="E361" s="11">
        <v>44808</v>
      </c>
      <c r="F361" s="11">
        <v>44805</v>
      </c>
      <c r="G361" s="12">
        <v>10</v>
      </c>
      <c r="H361" s="12">
        <v>120</v>
      </c>
      <c r="I361" s="13">
        <v>5970</v>
      </c>
      <c r="J361" s="13">
        <v>597</v>
      </c>
      <c r="K361" s="13">
        <f t="shared" si="139"/>
        <v>5373</v>
      </c>
      <c r="L361" s="13">
        <v>1253.7</v>
      </c>
      <c r="M361" s="13">
        <f t="shared" si="140"/>
        <v>44.774999999999999</v>
      </c>
      <c r="N361" s="13">
        <f t="shared" si="140"/>
        <v>44.774999999999999</v>
      </c>
      <c r="O361" s="13">
        <f t="shared" si="140"/>
        <v>44.774999999999999</v>
      </c>
      <c r="P361" s="13">
        <f t="shared" si="140"/>
        <v>44.774999999999999</v>
      </c>
      <c r="Q361" s="13">
        <f t="shared" si="140"/>
        <v>44.774999999999999</v>
      </c>
      <c r="R361" s="13">
        <f t="shared" si="140"/>
        <v>44.774999999999999</v>
      </c>
      <c r="S361" s="13">
        <f t="shared" si="140"/>
        <v>44.774999999999999</v>
      </c>
      <c r="T361" s="13">
        <f t="shared" si="140"/>
        <v>44.774999999999999</v>
      </c>
      <c r="U361" s="13">
        <f t="shared" si="140"/>
        <v>44.774999999999999</v>
      </c>
      <c r="V361" s="13">
        <f t="shared" si="141"/>
        <v>44.774999999999999</v>
      </c>
      <c r="W361" s="13">
        <f t="shared" si="142"/>
        <v>44.774999999999999</v>
      </c>
      <c r="X361" s="13">
        <f t="shared" si="142"/>
        <v>44.774999999999999</v>
      </c>
      <c r="Y361" s="13">
        <f t="shared" si="136"/>
        <v>537.29999999999984</v>
      </c>
      <c r="Z361" s="13">
        <f t="shared" si="137"/>
        <v>1791</v>
      </c>
      <c r="AA361" s="13">
        <f t="shared" si="138"/>
        <v>4179</v>
      </c>
    </row>
    <row r="362" spans="3:27" ht="15" customHeight="1" x14ac:dyDescent="0.2">
      <c r="C362" s="10" t="s">
        <v>582</v>
      </c>
      <c r="D362" s="10" t="s">
        <v>583</v>
      </c>
      <c r="E362" s="11">
        <v>44930</v>
      </c>
      <c r="F362" s="11">
        <v>44927</v>
      </c>
      <c r="G362" s="12">
        <v>10</v>
      </c>
      <c r="H362" s="12">
        <v>120</v>
      </c>
      <c r="I362" s="13">
        <v>79186.92</v>
      </c>
      <c r="J362" s="13">
        <v>7918.69</v>
      </c>
      <c r="K362" s="13">
        <f t="shared" si="139"/>
        <v>71268.23</v>
      </c>
      <c r="L362" s="13">
        <v>14253.65</v>
      </c>
      <c r="M362" s="13">
        <f t="shared" si="140"/>
        <v>593.90191666666658</v>
      </c>
      <c r="N362" s="13">
        <f t="shared" si="140"/>
        <v>593.90191666666658</v>
      </c>
      <c r="O362" s="13">
        <f t="shared" si="140"/>
        <v>593.90191666666658</v>
      </c>
      <c r="P362" s="13">
        <f t="shared" si="140"/>
        <v>593.90191666666658</v>
      </c>
      <c r="Q362" s="13">
        <f t="shared" si="140"/>
        <v>593.90191666666658</v>
      </c>
      <c r="R362" s="13">
        <f t="shared" si="140"/>
        <v>593.90191666666658</v>
      </c>
      <c r="S362" s="13">
        <f t="shared" si="140"/>
        <v>593.90191666666658</v>
      </c>
      <c r="T362" s="13">
        <f t="shared" si="140"/>
        <v>593.90191666666658</v>
      </c>
      <c r="U362" s="13">
        <f t="shared" si="140"/>
        <v>593.90191666666658</v>
      </c>
      <c r="V362" s="13">
        <f t="shared" si="141"/>
        <v>593.90191666666658</v>
      </c>
      <c r="W362" s="13">
        <f t="shared" si="142"/>
        <v>593.90191666666658</v>
      </c>
      <c r="X362" s="13">
        <f t="shared" si="142"/>
        <v>593.90191666666658</v>
      </c>
      <c r="Y362" s="13">
        <f t="shared" si="136"/>
        <v>7126.8229999999994</v>
      </c>
      <c r="Z362" s="13">
        <f t="shared" si="137"/>
        <v>21380.472999999998</v>
      </c>
      <c r="AA362" s="13">
        <f t="shared" si="138"/>
        <v>57806.447</v>
      </c>
    </row>
    <row r="363" spans="3:27" ht="15" customHeight="1" x14ac:dyDescent="0.2">
      <c r="C363" s="10" t="s">
        <v>584</v>
      </c>
      <c r="D363" s="10" t="s">
        <v>585</v>
      </c>
      <c r="E363" s="11">
        <v>45139</v>
      </c>
      <c r="F363" s="11">
        <v>45139</v>
      </c>
      <c r="G363" s="12">
        <v>10</v>
      </c>
      <c r="H363" s="12">
        <v>120</v>
      </c>
      <c r="I363" s="13">
        <v>4802.3999999999996</v>
      </c>
      <c r="J363" s="13">
        <v>480.24</v>
      </c>
      <c r="K363" s="13">
        <f t="shared" si="139"/>
        <v>4322.16</v>
      </c>
      <c r="L363" s="13">
        <v>612.30999999999995</v>
      </c>
      <c r="M363" s="13">
        <f t="shared" si="140"/>
        <v>36.018000000000001</v>
      </c>
      <c r="N363" s="13">
        <f t="shared" si="140"/>
        <v>36.018000000000001</v>
      </c>
      <c r="O363" s="13">
        <f t="shared" si="140"/>
        <v>36.018000000000001</v>
      </c>
      <c r="P363" s="13">
        <f t="shared" si="140"/>
        <v>36.018000000000001</v>
      </c>
      <c r="Q363" s="13">
        <f t="shared" si="140"/>
        <v>36.018000000000001</v>
      </c>
      <c r="R363" s="13">
        <f t="shared" si="140"/>
        <v>36.018000000000001</v>
      </c>
      <c r="S363" s="13">
        <f t="shared" si="140"/>
        <v>36.018000000000001</v>
      </c>
      <c r="T363" s="13">
        <f t="shared" si="140"/>
        <v>36.018000000000001</v>
      </c>
      <c r="U363" s="13">
        <f t="shared" si="140"/>
        <v>36.018000000000001</v>
      </c>
      <c r="V363" s="13">
        <f t="shared" si="141"/>
        <v>36.018000000000001</v>
      </c>
      <c r="W363" s="13">
        <f t="shared" si="142"/>
        <v>36.018000000000001</v>
      </c>
      <c r="X363" s="13">
        <f t="shared" si="142"/>
        <v>36.018000000000001</v>
      </c>
      <c r="Y363" s="13">
        <f t="shared" si="136"/>
        <v>432.21600000000012</v>
      </c>
      <c r="Z363" s="13">
        <f t="shared" si="137"/>
        <v>1044.5260000000001</v>
      </c>
      <c r="AA363" s="13">
        <f t="shared" si="138"/>
        <v>3757.8739999999998</v>
      </c>
    </row>
    <row r="364" spans="3:27" ht="15" customHeight="1" x14ac:dyDescent="0.2">
      <c r="C364" s="10" t="s">
        <v>586</v>
      </c>
      <c r="D364" s="10" t="s">
        <v>587</v>
      </c>
      <c r="E364" s="11">
        <v>45139</v>
      </c>
      <c r="F364" s="11">
        <v>45139</v>
      </c>
      <c r="G364" s="12">
        <v>10</v>
      </c>
      <c r="H364" s="12">
        <v>120</v>
      </c>
      <c r="I364" s="13">
        <v>60480.02</v>
      </c>
      <c r="J364" s="13">
        <v>6048</v>
      </c>
      <c r="K364" s="13">
        <f t="shared" si="139"/>
        <v>54432.02</v>
      </c>
      <c r="L364" s="13">
        <v>7711.2</v>
      </c>
      <c r="M364" s="13">
        <f t="shared" si="140"/>
        <v>453.60016666666667</v>
      </c>
      <c r="N364" s="13">
        <f t="shared" si="140"/>
        <v>453.60016666666667</v>
      </c>
      <c r="O364" s="13">
        <f t="shared" si="140"/>
        <v>453.60016666666667</v>
      </c>
      <c r="P364" s="13">
        <f t="shared" si="140"/>
        <v>453.60016666666667</v>
      </c>
      <c r="Q364" s="13">
        <f t="shared" si="140"/>
        <v>453.60016666666667</v>
      </c>
      <c r="R364" s="13">
        <f t="shared" si="140"/>
        <v>453.60016666666667</v>
      </c>
      <c r="S364" s="13">
        <f t="shared" si="140"/>
        <v>453.60016666666667</v>
      </c>
      <c r="T364" s="13">
        <f t="shared" si="140"/>
        <v>453.60016666666667</v>
      </c>
      <c r="U364" s="13">
        <f t="shared" si="140"/>
        <v>453.60016666666667</v>
      </c>
      <c r="V364" s="13">
        <f t="shared" si="141"/>
        <v>453.60016666666667</v>
      </c>
      <c r="W364" s="13">
        <f t="shared" si="142"/>
        <v>453.60016666666667</v>
      </c>
      <c r="X364" s="13">
        <f t="shared" si="142"/>
        <v>453.60016666666667</v>
      </c>
      <c r="Y364" s="13">
        <f t="shared" si="136"/>
        <v>5443.2020000000011</v>
      </c>
      <c r="Z364" s="13">
        <f t="shared" si="137"/>
        <v>13154.402000000002</v>
      </c>
      <c r="AA364" s="13">
        <f t="shared" si="138"/>
        <v>47325.617999999995</v>
      </c>
    </row>
    <row r="365" spans="3:27" ht="15" customHeight="1" x14ac:dyDescent="0.2">
      <c r="C365" s="10" t="s">
        <v>558</v>
      </c>
      <c r="D365" s="10" t="s">
        <v>588</v>
      </c>
      <c r="E365" s="11">
        <v>45315</v>
      </c>
      <c r="F365" s="11">
        <v>45323</v>
      </c>
      <c r="G365" s="12">
        <v>10</v>
      </c>
      <c r="H365" s="12">
        <v>120</v>
      </c>
      <c r="I365" s="13">
        <v>98116.07</v>
      </c>
      <c r="J365" s="13">
        <v>9811.61</v>
      </c>
      <c r="K365" s="13">
        <f t="shared" si="139"/>
        <v>88304.46</v>
      </c>
      <c r="L365" s="13">
        <v>8094.58</v>
      </c>
      <c r="M365" s="13">
        <f t="shared" ref="M365:X380" si="143">+$K365/$H365</f>
        <v>735.87050000000011</v>
      </c>
      <c r="N365" s="13">
        <f t="shared" si="143"/>
        <v>735.87050000000011</v>
      </c>
      <c r="O365" s="13">
        <f t="shared" si="143"/>
        <v>735.87050000000011</v>
      </c>
      <c r="P365" s="13">
        <f t="shared" si="143"/>
        <v>735.87050000000011</v>
      </c>
      <c r="Q365" s="13">
        <f t="shared" si="143"/>
        <v>735.87050000000011</v>
      </c>
      <c r="R365" s="13">
        <f t="shared" si="143"/>
        <v>735.87050000000011</v>
      </c>
      <c r="S365" s="13">
        <f t="shared" si="143"/>
        <v>735.87050000000011</v>
      </c>
      <c r="T365" s="13">
        <f t="shared" si="143"/>
        <v>735.87050000000011</v>
      </c>
      <c r="U365" s="13">
        <f t="shared" si="143"/>
        <v>735.87050000000011</v>
      </c>
      <c r="V365" s="13">
        <f t="shared" si="141"/>
        <v>735.87050000000011</v>
      </c>
      <c r="W365" s="13">
        <f t="shared" si="142"/>
        <v>735.87050000000011</v>
      </c>
      <c r="X365" s="13">
        <f t="shared" si="142"/>
        <v>735.87050000000011</v>
      </c>
      <c r="Y365" s="13">
        <f t="shared" si="136"/>
        <v>8830.4460000000017</v>
      </c>
      <c r="Z365" s="13">
        <f t="shared" si="137"/>
        <v>16925.026000000002</v>
      </c>
      <c r="AA365" s="13">
        <f t="shared" si="138"/>
        <v>81191.044000000009</v>
      </c>
    </row>
    <row r="366" spans="3:27" ht="15" customHeight="1" x14ac:dyDescent="0.2">
      <c r="C366" s="10" t="s">
        <v>589</v>
      </c>
      <c r="D366" s="10" t="s">
        <v>590</v>
      </c>
      <c r="E366" s="11">
        <v>45365</v>
      </c>
      <c r="F366" s="11">
        <v>45352</v>
      </c>
      <c r="G366" s="12">
        <v>10</v>
      </c>
      <c r="H366" s="12">
        <v>120</v>
      </c>
      <c r="I366" s="13">
        <v>49107.14</v>
      </c>
      <c r="J366" s="13">
        <v>4910.71</v>
      </c>
      <c r="K366" s="13">
        <f t="shared" si="139"/>
        <v>44196.43</v>
      </c>
      <c r="L366" s="13">
        <v>3683.04</v>
      </c>
      <c r="M366" s="13">
        <f t="shared" si="143"/>
        <v>368.30358333333334</v>
      </c>
      <c r="N366" s="13">
        <f t="shared" si="143"/>
        <v>368.30358333333334</v>
      </c>
      <c r="O366" s="13">
        <f t="shared" si="143"/>
        <v>368.30358333333334</v>
      </c>
      <c r="P366" s="13">
        <f t="shared" si="143"/>
        <v>368.30358333333334</v>
      </c>
      <c r="Q366" s="13">
        <f t="shared" si="143"/>
        <v>368.30358333333334</v>
      </c>
      <c r="R366" s="13">
        <f t="shared" si="143"/>
        <v>368.30358333333334</v>
      </c>
      <c r="S366" s="13">
        <f t="shared" si="143"/>
        <v>368.30358333333334</v>
      </c>
      <c r="T366" s="13">
        <f t="shared" si="143"/>
        <v>368.30358333333334</v>
      </c>
      <c r="U366" s="13">
        <f t="shared" si="143"/>
        <v>368.30358333333334</v>
      </c>
      <c r="V366" s="13">
        <f t="shared" si="141"/>
        <v>368.30358333333334</v>
      </c>
      <c r="W366" s="13">
        <f t="shared" si="142"/>
        <v>368.30358333333334</v>
      </c>
      <c r="X366" s="13">
        <f t="shared" si="142"/>
        <v>368.30358333333334</v>
      </c>
      <c r="Y366" s="13">
        <f t="shared" si="136"/>
        <v>4419.643</v>
      </c>
      <c r="Z366" s="13">
        <f t="shared" si="137"/>
        <v>8102.683</v>
      </c>
      <c r="AA366" s="13">
        <f t="shared" si="138"/>
        <v>41004.457000000002</v>
      </c>
    </row>
    <row r="367" spans="3:27" ht="15" customHeight="1" x14ac:dyDescent="0.2">
      <c r="C367" s="9" t="s">
        <v>604</v>
      </c>
      <c r="D367" s="27" t="s">
        <v>591</v>
      </c>
      <c r="E367" s="22">
        <v>45708</v>
      </c>
      <c r="F367" s="22">
        <v>45717</v>
      </c>
      <c r="G367" s="12">
        <v>10</v>
      </c>
      <c r="H367" s="12">
        <v>120</v>
      </c>
      <c r="I367" s="19">
        <f>60869.57+9130.44</f>
        <v>70000.009999999995</v>
      </c>
      <c r="J367" s="19">
        <f>+I367*10%</f>
        <v>7000.0010000000002</v>
      </c>
      <c r="K367" s="13">
        <f t="shared" si="139"/>
        <v>63000.008999999991</v>
      </c>
      <c r="L367" s="19">
        <v>0</v>
      </c>
      <c r="M367" s="19">
        <v>0</v>
      </c>
      <c r="N367" s="19">
        <v>0</v>
      </c>
      <c r="O367" s="13">
        <f t="shared" si="143"/>
        <v>525.00007499999992</v>
      </c>
      <c r="P367" s="13">
        <f t="shared" si="143"/>
        <v>525.00007499999992</v>
      </c>
      <c r="Q367" s="13">
        <f t="shared" si="143"/>
        <v>525.00007499999992</v>
      </c>
      <c r="R367" s="13">
        <f t="shared" si="143"/>
        <v>525.00007499999992</v>
      </c>
      <c r="S367" s="13">
        <f t="shared" si="143"/>
        <v>525.00007499999992</v>
      </c>
      <c r="T367" s="13">
        <f t="shared" si="143"/>
        <v>525.00007499999992</v>
      </c>
      <c r="U367" s="13">
        <f t="shared" si="143"/>
        <v>525.00007499999992</v>
      </c>
      <c r="V367" s="13">
        <f t="shared" si="143"/>
        <v>525.00007499999992</v>
      </c>
      <c r="W367" s="13">
        <f t="shared" si="143"/>
        <v>525.00007499999992</v>
      </c>
      <c r="X367" s="13">
        <f t="shared" si="143"/>
        <v>525.00007499999992</v>
      </c>
      <c r="Y367" s="13">
        <f t="shared" si="136"/>
        <v>5250.0007499999992</v>
      </c>
      <c r="Z367" s="13">
        <f t="shared" si="137"/>
        <v>5250.0007499999992</v>
      </c>
      <c r="AA367" s="13">
        <f t="shared" si="138"/>
        <v>64750.009249999996</v>
      </c>
    </row>
    <row r="368" spans="3:27" ht="15" customHeight="1" x14ac:dyDescent="0.2">
      <c r="C368" s="9" t="s">
        <v>606</v>
      </c>
      <c r="D368" s="27" t="s">
        <v>592</v>
      </c>
      <c r="E368" s="22">
        <v>45790</v>
      </c>
      <c r="F368" s="22">
        <v>45778</v>
      </c>
      <c r="G368" s="12">
        <v>10</v>
      </c>
      <c r="H368" s="12">
        <v>120</v>
      </c>
      <c r="I368" s="19">
        <f>3774+25160</f>
        <v>28934</v>
      </c>
      <c r="J368" s="19">
        <f t="shared" ref="J368:J380" si="144">+I368*10%</f>
        <v>2893.4</v>
      </c>
      <c r="K368" s="13">
        <f t="shared" si="139"/>
        <v>26040.6</v>
      </c>
      <c r="L368" s="19">
        <v>0</v>
      </c>
      <c r="M368" s="19">
        <v>0</v>
      </c>
      <c r="N368" s="19">
        <v>0</v>
      </c>
      <c r="O368" s="19">
        <v>0</v>
      </c>
      <c r="P368" s="19">
        <v>0</v>
      </c>
      <c r="Q368" s="13">
        <f t="shared" si="143"/>
        <v>217.005</v>
      </c>
      <c r="R368" s="13">
        <f t="shared" si="143"/>
        <v>217.005</v>
      </c>
      <c r="S368" s="13">
        <f t="shared" si="143"/>
        <v>217.005</v>
      </c>
      <c r="T368" s="13">
        <f t="shared" si="143"/>
        <v>217.005</v>
      </c>
      <c r="U368" s="13">
        <f t="shared" si="143"/>
        <v>217.005</v>
      </c>
      <c r="V368" s="13">
        <f t="shared" si="143"/>
        <v>217.005</v>
      </c>
      <c r="W368" s="13">
        <f t="shared" si="143"/>
        <v>217.005</v>
      </c>
      <c r="X368" s="13">
        <f t="shared" si="143"/>
        <v>217.005</v>
      </c>
      <c r="Y368" s="13">
        <f t="shared" ref="Y368:Y389" si="145">SUM(M368:X368)</f>
        <v>1736.0400000000004</v>
      </c>
      <c r="Z368" s="13">
        <f t="shared" ref="Z368:Z389" si="146">+L368+Y368</f>
        <v>1736.0400000000004</v>
      </c>
      <c r="AA368" s="13">
        <f t="shared" ref="AA368:AA389" si="147">+I368-Z368</f>
        <v>27197.96</v>
      </c>
    </row>
    <row r="369" spans="3:27" ht="15" customHeight="1" x14ac:dyDescent="0.2">
      <c r="C369" s="9" t="s">
        <v>605</v>
      </c>
      <c r="D369" s="27" t="s">
        <v>593</v>
      </c>
      <c r="E369" s="22">
        <v>45790</v>
      </c>
      <c r="F369" s="22">
        <v>45778</v>
      </c>
      <c r="G369" s="12">
        <v>10</v>
      </c>
      <c r="H369" s="12">
        <v>120</v>
      </c>
      <c r="I369" s="19">
        <f>1998+13320</f>
        <v>15318</v>
      </c>
      <c r="J369" s="19">
        <f t="shared" si="144"/>
        <v>1531.8000000000002</v>
      </c>
      <c r="K369" s="13">
        <f t="shared" si="139"/>
        <v>13786.2</v>
      </c>
      <c r="L369" s="19">
        <v>0</v>
      </c>
      <c r="M369" s="19">
        <v>0</v>
      </c>
      <c r="N369" s="19">
        <v>0</v>
      </c>
      <c r="O369" s="19">
        <v>0</v>
      </c>
      <c r="P369" s="19">
        <v>0</v>
      </c>
      <c r="Q369" s="13">
        <f t="shared" si="143"/>
        <v>114.88500000000001</v>
      </c>
      <c r="R369" s="13">
        <f t="shared" si="143"/>
        <v>114.88500000000001</v>
      </c>
      <c r="S369" s="13">
        <f t="shared" si="143"/>
        <v>114.88500000000001</v>
      </c>
      <c r="T369" s="13">
        <f t="shared" si="143"/>
        <v>114.88500000000001</v>
      </c>
      <c r="U369" s="13">
        <f t="shared" si="143"/>
        <v>114.88500000000001</v>
      </c>
      <c r="V369" s="13">
        <f t="shared" si="143"/>
        <v>114.88500000000001</v>
      </c>
      <c r="W369" s="13">
        <f t="shared" si="143"/>
        <v>114.88500000000001</v>
      </c>
      <c r="X369" s="13">
        <f t="shared" si="143"/>
        <v>114.88500000000001</v>
      </c>
      <c r="Y369" s="13">
        <f t="shared" si="145"/>
        <v>919.08</v>
      </c>
      <c r="Z369" s="13">
        <f t="shared" si="146"/>
        <v>919.08</v>
      </c>
      <c r="AA369" s="13">
        <f t="shared" si="147"/>
        <v>14398.92</v>
      </c>
    </row>
    <row r="370" spans="3:27" ht="15" customHeight="1" x14ac:dyDescent="0.2">
      <c r="C370" s="9" t="s">
        <v>607</v>
      </c>
      <c r="D370" s="27" t="s">
        <v>594</v>
      </c>
      <c r="E370" s="22">
        <v>45806</v>
      </c>
      <c r="F370" s="22">
        <v>45809</v>
      </c>
      <c r="G370" s="12">
        <v>10</v>
      </c>
      <c r="H370" s="12">
        <v>120</v>
      </c>
      <c r="I370" s="19">
        <f>25282.29+168548.58</f>
        <v>193830.87</v>
      </c>
      <c r="J370" s="19">
        <f t="shared" si="144"/>
        <v>19383.087</v>
      </c>
      <c r="K370" s="13">
        <f t="shared" si="139"/>
        <v>174447.783</v>
      </c>
      <c r="L370" s="19">
        <v>0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3">
        <f t="shared" si="143"/>
        <v>1453.7315249999999</v>
      </c>
      <c r="S370" s="13">
        <f t="shared" si="143"/>
        <v>1453.7315249999999</v>
      </c>
      <c r="T370" s="13">
        <f t="shared" si="143"/>
        <v>1453.7315249999999</v>
      </c>
      <c r="U370" s="13">
        <f t="shared" si="143"/>
        <v>1453.7315249999999</v>
      </c>
      <c r="V370" s="13">
        <f t="shared" si="143"/>
        <v>1453.7315249999999</v>
      </c>
      <c r="W370" s="13">
        <f t="shared" si="143"/>
        <v>1453.7315249999999</v>
      </c>
      <c r="X370" s="13">
        <f t="shared" si="143"/>
        <v>1453.7315249999999</v>
      </c>
      <c r="Y370" s="13">
        <f t="shared" si="145"/>
        <v>10176.120674999998</v>
      </c>
      <c r="Z370" s="13">
        <f t="shared" si="146"/>
        <v>10176.120674999998</v>
      </c>
      <c r="AA370" s="13">
        <f t="shared" si="147"/>
        <v>183654.74932499998</v>
      </c>
    </row>
    <row r="371" spans="3:27" ht="15" customHeight="1" x14ac:dyDescent="0.2">
      <c r="C371" s="9" t="s">
        <v>607</v>
      </c>
      <c r="D371" s="27" t="s">
        <v>595</v>
      </c>
      <c r="E371" s="22">
        <v>45849</v>
      </c>
      <c r="F371" s="22">
        <v>45839</v>
      </c>
      <c r="G371" s="12">
        <v>10</v>
      </c>
      <c r="H371" s="12">
        <v>120</v>
      </c>
      <c r="I371" s="19">
        <f>3857.14+25714.29</f>
        <v>29571.43</v>
      </c>
      <c r="J371" s="19">
        <f t="shared" si="144"/>
        <v>2957.143</v>
      </c>
      <c r="K371" s="13">
        <f t="shared" si="139"/>
        <v>26614.287</v>
      </c>
      <c r="L371" s="19">
        <v>0</v>
      </c>
      <c r="M371" s="19">
        <v>0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13">
        <f t="shared" si="143"/>
        <v>221.78572500000001</v>
      </c>
      <c r="T371" s="13">
        <f t="shared" si="143"/>
        <v>221.78572500000001</v>
      </c>
      <c r="U371" s="13">
        <f t="shared" si="143"/>
        <v>221.78572500000001</v>
      </c>
      <c r="V371" s="13">
        <f t="shared" si="143"/>
        <v>221.78572500000001</v>
      </c>
      <c r="W371" s="13">
        <f t="shared" si="143"/>
        <v>221.78572500000001</v>
      </c>
      <c r="X371" s="13">
        <f t="shared" si="143"/>
        <v>221.78572500000001</v>
      </c>
      <c r="Y371" s="13">
        <f t="shared" si="145"/>
        <v>1330.71435</v>
      </c>
      <c r="Z371" s="13">
        <f t="shared" si="146"/>
        <v>1330.71435</v>
      </c>
      <c r="AA371" s="13">
        <f t="shared" si="147"/>
        <v>28240.715650000002</v>
      </c>
    </row>
    <row r="372" spans="3:27" ht="15" customHeight="1" x14ac:dyDescent="0.2">
      <c r="C372" s="9" t="s">
        <v>608</v>
      </c>
      <c r="D372" s="27" t="s">
        <v>596</v>
      </c>
      <c r="E372" s="22">
        <v>45868</v>
      </c>
      <c r="F372" s="22">
        <v>45870</v>
      </c>
      <c r="G372" s="12">
        <v>10</v>
      </c>
      <c r="H372" s="12">
        <v>120</v>
      </c>
      <c r="I372" s="19">
        <f>9391.31+62608.7</f>
        <v>72000.009999999995</v>
      </c>
      <c r="J372" s="19">
        <f t="shared" si="144"/>
        <v>7200.0010000000002</v>
      </c>
      <c r="K372" s="13">
        <f t="shared" si="139"/>
        <v>64800.008999999991</v>
      </c>
      <c r="L372" s="19">
        <v>0</v>
      </c>
      <c r="M372" s="19">
        <v>0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3">
        <f t="shared" si="143"/>
        <v>540.00007499999992</v>
      </c>
      <c r="U372" s="13">
        <f t="shared" si="143"/>
        <v>540.00007499999992</v>
      </c>
      <c r="V372" s="13">
        <f t="shared" si="143"/>
        <v>540.00007499999992</v>
      </c>
      <c r="W372" s="13">
        <f t="shared" si="143"/>
        <v>540.00007499999992</v>
      </c>
      <c r="X372" s="13">
        <f t="shared" si="143"/>
        <v>540.00007499999992</v>
      </c>
      <c r="Y372" s="13">
        <f t="shared" si="145"/>
        <v>2700.0003749999996</v>
      </c>
      <c r="Z372" s="13">
        <f t="shared" si="146"/>
        <v>2700.0003749999996</v>
      </c>
      <c r="AA372" s="13">
        <f t="shared" si="147"/>
        <v>69300.009624999992</v>
      </c>
    </row>
    <row r="373" spans="3:27" ht="15" customHeight="1" x14ac:dyDescent="0.2">
      <c r="C373" s="9" t="s">
        <v>609</v>
      </c>
      <c r="D373" s="27" t="s">
        <v>597</v>
      </c>
      <c r="E373" s="22">
        <v>45874</v>
      </c>
      <c r="F373" s="22">
        <v>45870</v>
      </c>
      <c r="G373" s="12">
        <v>10</v>
      </c>
      <c r="H373" s="12">
        <v>120</v>
      </c>
      <c r="I373" s="19">
        <f>16304.35+108695.65</f>
        <v>125000</v>
      </c>
      <c r="J373" s="19">
        <f t="shared" si="144"/>
        <v>12500</v>
      </c>
      <c r="K373" s="13">
        <f t="shared" si="139"/>
        <v>112500</v>
      </c>
      <c r="L373" s="19">
        <v>0</v>
      </c>
      <c r="M373" s="19">
        <v>0</v>
      </c>
      <c r="N373" s="19">
        <v>0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  <c r="T373" s="13">
        <f t="shared" si="143"/>
        <v>937.5</v>
      </c>
      <c r="U373" s="13">
        <f t="shared" si="143"/>
        <v>937.5</v>
      </c>
      <c r="V373" s="13">
        <f t="shared" si="143"/>
        <v>937.5</v>
      </c>
      <c r="W373" s="13">
        <f t="shared" si="143"/>
        <v>937.5</v>
      </c>
      <c r="X373" s="13">
        <f t="shared" si="143"/>
        <v>937.5</v>
      </c>
      <c r="Y373" s="13">
        <f t="shared" si="145"/>
        <v>4687.5</v>
      </c>
      <c r="Z373" s="13">
        <f t="shared" si="146"/>
        <v>4687.5</v>
      </c>
      <c r="AA373" s="13">
        <f t="shared" si="147"/>
        <v>120312.5</v>
      </c>
    </row>
    <row r="374" spans="3:27" ht="15" customHeight="1" x14ac:dyDescent="0.2">
      <c r="C374" s="9" t="s">
        <v>610</v>
      </c>
      <c r="D374" s="27" t="s">
        <v>598</v>
      </c>
      <c r="E374" s="22">
        <v>45884</v>
      </c>
      <c r="F374" s="22">
        <v>45870</v>
      </c>
      <c r="G374" s="12">
        <v>10</v>
      </c>
      <c r="H374" s="12">
        <v>120</v>
      </c>
      <c r="I374" s="19">
        <f>78600+524000</f>
        <v>602600</v>
      </c>
      <c r="J374" s="19">
        <f t="shared" si="144"/>
        <v>60260</v>
      </c>
      <c r="K374" s="13">
        <f t="shared" ref="K374:K380" si="148">+I374-J374</f>
        <v>542340</v>
      </c>
      <c r="L374" s="19">
        <v>0</v>
      </c>
      <c r="M374" s="19">
        <v>0</v>
      </c>
      <c r="N374" s="19">
        <v>0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3">
        <f t="shared" si="143"/>
        <v>4519.5</v>
      </c>
      <c r="U374" s="13">
        <f t="shared" si="143"/>
        <v>4519.5</v>
      </c>
      <c r="V374" s="13">
        <f t="shared" si="143"/>
        <v>4519.5</v>
      </c>
      <c r="W374" s="13">
        <f t="shared" si="143"/>
        <v>4519.5</v>
      </c>
      <c r="X374" s="13">
        <f t="shared" si="143"/>
        <v>4519.5</v>
      </c>
      <c r="Y374" s="13">
        <f t="shared" si="145"/>
        <v>22597.5</v>
      </c>
      <c r="Z374" s="13">
        <f t="shared" si="146"/>
        <v>22597.5</v>
      </c>
      <c r="AA374" s="13">
        <f t="shared" si="147"/>
        <v>580002.5</v>
      </c>
    </row>
    <row r="375" spans="3:27" ht="15" customHeight="1" x14ac:dyDescent="0.2">
      <c r="C375" s="9" t="s">
        <v>611</v>
      </c>
      <c r="D375" s="27" t="s">
        <v>599</v>
      </c>
      <c r="E375" s="22">
        <v>45937</v>
      </c>
      <c r="F375" s="22">
        <v>45931</v>
      </c>
      <c r="G375" s="12">
        <v>10</v>
      </c>
      <c r="H375" s="12">
        <v>120</v>
      </c>
      <c r="I375" s="19">
        <f>3756.96+25046.43</f>
        <v>28803.39</v>
      </c>
      <c r="J375" s="19">
        <f t="shared" si="144"/>
        <v>2880.3389999999999</v>
      </c>
      <c r="K375" s="13">
        <f t="shared" si="148"/>
        <v>25923.050999999999</v>
      </c>
      <c r="L375" s="19">
        <v>0</v>
      </c>
      <c r="M375" s="19">
        <v>0</v>
      </c>
      <c r="N375" s="19">
        <v>0</v>
      </c>
      <c r="O375" s="19">
        <v>0</v>
      </c>
      <c r="P375" s="19">
        <v>0</v>
      </c>
      <c r="Q375" s="19">
        <v>0</v>
      </c>
      <c r="R375" s="19">
        <v>0</v>
      </c>
      <c r="S375" s="19">
        <v>0</v>
      </c>
      <c r="T375" s="19">
        <v>0</v>
      </c>
      <c r="U375" s="19">
        <v>0</v>
      </c>
      <c r="V375" s="13">
        <f t="shared" si="143"/>
        <v>216.02542499999998</v>
      </c>
      <c r="W375" s="13">
        <f t="shared" si="143"/>
        <v>216.02542499999998</v>
      </c>
      <c r="X375" s="13">
        <f t="shared" si="143"/>
        <v>216.02542499999998</v>
      </c>
      <c r="Y375" s="13">
        <f t="shared" si="145"/>
        <v>648.0762749999999</v>
      </c>
      <c r="Z375" s="13">
        <f t="shared" si="146"/>
        <v>648.0762749999999</v>
      </c>
      <c r="AA375" s="13">
        <f t="shared" si="147"/>
        <v>28155.313725</v>
      </c>
    </row>
    <row r="376" spans="3:27" ht="15" customHeight="1" x14ac:dyDescent="0.2">
      <c r="D376" s="27" t="s">
        <v>600</v>
      </c>
      <c r="E376" s="22">
        <v>45947</v>
      </c>
      <c r="F376" s="22">
        <v>45962</v>
      </c>
      <c r="G376" s="12">
        <v>10</v>
      </c>
      <c r="H376" s="12">
        <v>120</v>
      </c>
      <c r="I376" s="19">
        <f>6677.82+44518.79</f>
        <v>51196.61</v>
      </c>
      <c r="J376" s="19">
        <f t="shared" si="144"/>
        <v>5119.6610000000001</v>
      </c>
      <c r="K376" s="13">
        <f t="shared" si="148"/>
        <v>46076.949000000001</v>
      </c>
      <c r="L376" s="19">
        <v>0</v>
      </c>
      <c r="M376" s="19">
        <v>0</v>
      </c>
      <c r="N376" s="19">
        <v>0</v>
      </c>
      <c r="O376" s="19">
        <v>0</v>
      </c>
      <c r="P376" s="19">
        <v>0</v>
      </c>
      <c r="Q376" s="19">
        <v>0</v>
      </c>
      <c r="R376" s="19">
        <v>0</v>
      </c>
      <c r="S376" s="19">
        <v>0</v>
      </c>
      <c r="T376" s="19">
        <v>0</v>
      </c>
      <c r="U376" s="19">
        <v>0</v>
      </c>
      <c r="V376" s="19">
        <v>0</v>
      </c>
      <c r="W376" s="13">
        <f t="shared" si="143"/>
        <v>383.97457500000002</v>
      </c>
      <c r="X376" s="13">
        <f t="shared" si="143"/>
        <v>383.97457500000002</v>
      </c>
      <c r="Y376" s="13">
        <f t="shared" si="145"/>
        <v>767.94915000000003</v>
      </c>
      <c r="Z376" s="13">
        <f t="shared" si="146"/>
        <v>767.94915000000003</v>
      </c>
      <c r="AA376" s="13">
        <f t="shared" si="147"/>
        <v>50428.66085</v>
      </c>
    </row>
    <row r="377" spans="3:27" ht="15" customHeight="1" x14ac:dyDescent="0.2">
      <c r="D377" s="27" t="s">
        <v>602</v>
      </c>
      <c r="E377" s="22">
        <v>45966</v>
      </c>
      <c r="F377" s="22">
        <v>45962</v>
      </c>
      <c r="G377" s="12">
        <v>10</v>
      </c>
      <c r="H377" s="12">
        <v>120</v>
      </c>
      <c r="I377" s="19">
        <f>660+4400</f>
        <v>5060</v>
      </c>
      <c r="J377" s="19">
        <f t="shared" si="144"/>
        <v>506</v>
      </c>
      <c r="K377" s="13">
        <f t="shared" si="148"/>
        <v>4554</v>
      </c>
      <c r="L377" s="19">
        <v>0</v>
      </c>
      <c r="M377" s="19">
        <v>0</v>
      </c>
      <c r="N377" s="19">
        <v>0</v>
      </c>
      <c r="O377" s="19">
        <v>0</v>
      </c>
      <c r="P377" s="19">
        <v>0</v>
      </c>
      <c r="Q377" s="19">
        <v>0</v>
      </c>
      <c r="R377" s="19">
        <v>0</v>
      </c>
      <c r="S377" s="19">
        <v>0</v>
      </c>
      <c r="T377" s="19">
        <v>0</v>
      </c>
      <c r="U377" s="19">
        <v>0</v>
      </c>
      <c r="V377" s="19">
        <v>0</v>
      </c>
      <c r="W377" s="13">
        <f t="shared" si="143"/>
        <v>37.950000000000003</v>
      </c>
      <c r="X377" s="13">
        <f t="shared" si="143"/>
        <v>37.950000000000003</v>
      </c>
      <c r="Y377" s="13">
        <f t="shared" si="145"/>
        <v>75.900000000000006</v>
      </c>
      <c r="Z377" s="13">
        <f t="shared" si="146"/>
        <v>75.900000000000006</v>
      </c>
      <c r="AA377" s="13">
        <f t="shared" si="147"/>
        <v>4984.1000000000004</v>
      </c>
    </row>
    <row r="378" spans="3:27" ht="15" customHeight="1" x14ac:dyDescent="0.2">
      <c r="D378" s="27" t="s">
        <v>601</v>
      </c>
      <c r="E378" s="22">
        <v>45981</v>
      </c>
      <c r="F378" s="22">
        <v>45992</v>
      </c>
      <c r="G378" s="12">
        <v>10</v>
      </c>
      <c r="H378" s="12">
        <v>120</v>
      </c>
      <c r="I378" s="19">
        <f>540+3600</f>
        <v>4140</v>
      </c>
      <c r="J378" s="19">
        <f t="shared" si="144"/>
        <v>414</v>
      </c>
      <c r="K378" s="13">
        <f t="shared" si="148"/>
        <v>3726</v>
      </c>
      <c r="L378" s="19">
        <v>0</v>
      </c>
      <c r="M378" s="19">
        <v>0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0</v>
      </c>
      <c r="U378" s="19">
        <v>0</v>
      </c>
      <c r="V378" s="19">
        <v>0</v>
      </c>
      <c r="W378" s="19">
        <v>0</v>
      </c>
      <c r="X378" s="13">
        <f t="shared" si="143"/>
        <v>31.05</v>
      </c>
      <c r="Y378" s="13">
        <f t="shared" si="145"/>
        <v>31.05</v>
      </c>
      <c r="Z378" s="13">
        <f t="shared" si="146"/>
        <v>31.05</v>
      </c>
      <c r="AA378" s="13">
        <f t="shared" si="147"/>
        <v>4108.95</v>
      </c>
    </row>
    <row r="379" spans="3:27" ht="15" customHeight="1" x14ac:dyDescent="0.2">
      <c r="D379" s="27" t="s">
        <v>601</v>
      </c>
      <c r="E379" s="22">
        <v>45989</v>
      </c>
      <c r="F379" s="22">
        <v>45992</v>
      </c>
      <c r="G379" s="12">
        <v>10</v>
      </c>
      <c r="H379" s="12">
        <v>120</v>
      </c>
      <c r="I379" s="19">
        <f>540+3600</f>
        <v>4140</v>
      </c>
      <c r="J379" s="19">
        <f t="shared" si="144"/>
        <v>414</v>
      </c>
      <c r="K379" s="13">
        <f t="shared" si="148"/>
        <v>3726</v>
      </c>
      <c r="L379" s="19">
        <v>0</v>
      </c>
      <c r="M379" s="19">
        <v>0</v>
      </c>
      <c r="N379" s="19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0</v>
      </c>
      <c r="T379" s="19">
        <v>0</v>
      </c>
      <c r="U379" s="19">
        <v>0</v>
      </c>
      <c r="V379" s="19">
        <v>0</v>
      </c>
      <c r="W379" s="19">
        <v>0</v>
      </c>
      <c r="X379" s="13">
        <f t="shared" si="143"/>
        <v>31.05</v>
      </c>
      <c r="Y379" s="13">
        <f t="shared" si="145"/>
        <v>31.05</v>
      </c>
      <c r="Z379" s="13">
        <f t="shared" si="146"/>
        <v>31.05</v>
      </c>
      <c r="AA379" s="13">
        <f t="shared" si="147"/>
        <v>4108.95</v>
      </c>
    </row>
    <row r="380" spans="3:27" ht="15" customHeight="1" x14ac:dyDescent="0.2">
      <c r="D380" s="27" t="s">
        <v>603</v>
      </c>
      <c r="E380" s="22">
        <v>46002</v>
      </c>
      <c r="F380" s="22">
        <v>45992</v>
      </c>
      <c r="G380" s="12">
        <v>10</v>
      </c>
      <c r="H380" s="12">
        <v>120</v>
      </c>
      <c r="I380" s="19">
        <f>8152.17+54347.83</f>
        <v>62500</v>
      </c>
      <c r="J380" s="19">
        <f t="shared" si="144"/>
        <v>6250</v>
      </c>
      <c r="K380" s="13">
        <f t="shared" si="148"/>
        <v>56250</v>
      </c>
      <c r="L380" s="19">
        <v>0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0</v>
      </c>
      <c r="W380" s="19">
        <v>0</v>
      </c>
      <c r="X380" s="13">
        <f t="shared" si="143"/>
        <v>468.75</v>
      </c>
      <c r="Y380" s="13">
        <f t="shared" si="145"/>
        <v>468.75</v>
      </c>
      <c r="Z380" s="13">
        <f t="shared" si="146"/>
        <v>468.75</v>
      </c>
      <c r="AA380" s="13">
        <f t="shared" si="147"/>
        <v>62031.25</v>
      </c>
    </row>
    <row r="381" spans="3:27" ht="15" hidden="1" customHeight="1" x14ac:dyDescent="0.2">
      <c r="G381" s="12"/>
      <c r="H381" s="12"/>
      <c r="K381" s="13"/>
      <c r="Y381" s="13">
        <f t="shared" si="145"/>
        <v>0</v>
      </c>
      <c r="Z381" s="13">
        <f t="shared" si="146"/>
        <v>0</v>
      </c>
      <c r="AA381" s="13">
        <f t="shared" si="147"/>
        <v>0</v>
      </c>
    </row>
    <row r="382" spans="3:27" ht="15" hidden="1" customHeight="1" x14ac:dyDescent="0.2">
      <c r="Y382" s="13">
        <f t="shared" si="145"/>
        <v>0</v>
      </c>
      <c r="Z382" s="13">
        <f t="shared" si="146"/>
        <v>0</v>
      </c>
      <c r="AA382" s="13">
        <f t="shared" si="147"/>
        <v>0</v>
      </c>
    </row>
    <row r="383" spans="3:27" ht="15" hidden="1" customHeight="1" x14ac:dyDescent="0.2">
      <c r="Y383" s="13">
        <f t="shared" si="145"/>
        <v>0</v>
      </c>
      <c r="Z383" s="13">
        <f t="shared" si="146"/>
        <v>0</v>
      </c>
      <c r="AA383" s="13">
        <f t="shared" si="147"/>
        <v>0</v>
      </c>
    </row>
    <row r="384" spans="3:27" ht="15" hidden="1" customHeight="1" x14ac:dyDescent="0.2">
      <c r="Y384" s="13">
        <f t="shared" si="145"/>
        <v>0</v>
      </c>
      <c r="Z384" s="13">
        <f t="shared" si="146"/>
        <v>0</v>
      </c>
      <c r="AA384" s="13">
        <f t="shared" si="147"/>
        <v>0</v>
      </c>
    </row>
    <row r="385" spans="3:27" ht="15" hidden="1" customHeight="1" x14ac:dyDescent="0.2">
      <c r="Y385" s="13">
        <f t="shared" si="145"/>
        <v>0</v>
      </c>
      <c r="Z385" s="13">
        <f t="shared" si="146"/>
        <v>0</v>
      </c>
      <c r="AA385" s="13">
        <f t="shared" si="147"/>
        <v>0</v>
      </c>
    </row>
    <row r="386" spans="3:27" ht="15" hidden="1" customHeight="1" x14ac:dyDescent="0.2">
      <c r="Y386" s="13">
        <f t="shared" si="145"/>
        <v>0</v>
      </c>
      <c r="Z386" s="13">
        <f t="shared" si="146"/>
        <v>0</v>
      </c>
      <c r="AA386" s="13">
        <f t="shared" si="147"/>
        <v>0</v>
      </c>
    </row>
    <row r="387" spans="3:27" ht="15" hidden="1" customHeight="1" x14ac:dyDescent="0.2">
      <c r="Y387" s="13"/>
      <c r="Z387" s="13"/>
      <c r="AA387" s="13"/>
    </row>
    <row r="388" spans="3:27" ht="15" customHeight="1" x14ac:dyDescent="0.2">
      <c r="C388" s="39" t="s">
        <v>37</v>
      </c>
      <c r="D388" s="39"/>
      <c r="E388" s="39"/>
      <c r="F388" s="39"/>
      <c r="G388" s="39"/>
      <c r="H388" s="39"/>
      <c r="I388" s="28">
        <f>SUBTOTAL(9,I247:I387)</f>
        <v>3576726.26</v>
      </c>
      <c r="J388" s="24">
        <f>SUBTOTAL(9,J247:J387)</f>
        <v>217949.11200000002</v>
      </c>
      <c r="K388" s="24">
        <f>SUBTOTAL(9,K247:K387)</f>
        <v>3358777.148000001</v>
      </c>
      <c r="L388" s="28">
        <f>SUBTOTAL(9,L247:L387)</f>
        <v>1583131.7100000004</v>
      </c>
      <c r="M388" s="38">
        <f t="shared" ref="M388:Z388" si="149">SUBTOTAL(9,M247:M387)</f>
        <v>7144.141583333334</v>
      </c>
      <c r="N388" s="38">
        <f t="shared" si="149"/>
        <v>7144.141583333334</v>
      </c>
      <c r="O388" s="24">
        <f t="shared" si="149"/>
        <v>7669.1416583333339</v>
      </c>
      <c r="P388" s="24">
        <f t="shared" si="149"/>
        <v>7669.1416583333339</v>
      </c>
      <c r="Q388" s="24">
        <f t="shared" si="149"/>
        <v>8001.0316583333342</v>
      </c>
      <c r="R388" s="24">
        <f t="shared" si="149"/>
        <v>9454.7631833333344</v>
      </c>
      <c r="S388" s="24">
        <f t="shared" si="149"/>
        <v>9676.5489083333341</v>
      </c>
      <c r="T388" s="24">
        <f t="shared" si="149"/>
        <v>15673.548983333334</v>
      </c>
      <c r="U388" s="24">
        <f t="shared" si="149"/>
        <v>15427.282983333333</v>
      </c>
      <c r="V388" s="24">
        <f t="shared" si="149"/>
        <v>15338.242408333334</v>
      </c>
      <c r="W388" s="24">
        <f t="shared" si="149"/>
        <v>15760.166983333334</v>
      </c>
      <c r="X388" s="24">
        <f t="shared" si="149"/>
        <v>16291.016983333333</v>
      </c>
      <c r="Y388" s="24">
        <f t="shared" si="149"/>
        <v>135249.16857499993</v>
      </c>
      <c r="Z388" s="24">
        <f t="shared" si="149"/>
        <v>1718380.8785750002</v>
      </c>
      <c r="AA388" s="24">
        <f t="shared" ref="AA388" si="150">SUBTOTAL(9,AA247:AA387)</f>
        <v>1858345.381425</v>
      </c>
    </row>
    <row r="389" spans="3:27" ht="15" customHeight="1" x14ac:dyDescent="0.2">
      <c r="Y389" s="13">
        <f t="shared" si="145"/>
        <v>0</v>
      </c>
      <c r="Z389" s="13">
        <f t="shared" si="146"/>
        <v>0</v>
      </c>
      <c r="AA389" s="13">
        <f t="shared" si="147"/>
        <v>0</v>
      </c>
    </row>
    <row r="391" spans="3:27" x14ac:dyDescent="0.2">
      <c r="L391" s="36">
        <f>+L388</f>
        <v>1583131.7100000004</v>
      </c>
    </row>
    <row r="392" spans="3:27" x14ac:dyDescent="0.2">
      <c r="L392" s="36">
        <v>1583105.01</v>
      </c>
    </row>
    <row r="393" spans="3:27" x14ac:dyDescent="0.2">
      <c r="L393" s="36">
        <f>+L391-L392</f>
        <v>26.700000000419095</v>
      </c>
    </row>
  </sheetData>
  <sortState ref="A36:AC86">
    <sortCondition ref="A36"/>
  </sortState>
  <mergeCells count="16">
    <mergeCell ref="C388:H388"/>
    <mergeCell ref="C243:H243"/>
    <mergeCell ref="C92:H92"/>
    <mergeCell ref="C37:H37"/>
    <mergeCell ref="C7:AA7"/>
    <mergeCell ref="C8:AA8"/>
    <mergeCell ref="C23:H23"/>
    <mergeCell ref="C24:AA24"/>
    <mergeCell ref="C214:H214"/>
    <mergeCell ref="C170:H170"/>
    <mergeCell ref="C184:H184"/>
    <mergeCell ref="C190:H190"/>
    <mergeCell ref="C187:D187"/>
    <mergeCell ref="C196:H196"/>
    <mergeCell ref="C199:D199"/>
    <mergeCell ref="C163:H163"/>
  </mergeCells>
  <pageMargins left="0.11811023622047245" right="0.11811023622047245" top="0.98425196850393704" bottom="0.98425196850393704" header="0.51181102362204722" footer="0.51181102362204722"/>
  <pageSetup paperSize="9" scale="75" orientation="portrait" r:id="rId1"/>
  <ignoredErrors>
    <ignoredError sqref="Y97:Y162 Y173:Y178 Y183 Y188:Y189 Y195 Y200:Y209 Y218:Y24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55"/>
  <sheetViews>
    <sheetView workbookViewId="0">
      <selection activeCell="D21" sqref="D21"/>
    </sheetView>
  </sheetViews>
  <sheetFormatPr baseColWidth="10" defaultRowHeight="15" x14ac:dyDescent="0.25"/>
  <sheetData>
    <row r="3" spans="2:10" x14ac:dyDescent="0.25">
      <c r="B3" s="4">
        <v>2007</v>
      </c>
      <c r="C3" s="1">
        <v>10</v>
      </c>
      <c r="D3" s="1"/>
    </row>
    <row r="4" spans="2:10" x14ac:dyDescent="0.25">
      <c r="B4" s="4">
        <v>2008</v>
      </c>
      <c r="C4" s="1">
        <v>12</v>
      </c>
      <c r="D4" s="1"/>
    </row>
    <row r="5" spans="2:10" x14ac:dyDescent="0.25">
      <c r="B5" s="4">
        <v>2009</v>
      </c>
      <c r="C5" s="1">
        <v>12</v>
      </c>
      <c r="D5" s="1"/>
    </row>
    <row r="6" spans="2:10" x14ac:dyDescent="0.25">
      <c r="B6" s="4">
        <v>2010</v>
      </c>
      <c r="C6" s="1">
        <v>12</v>
      </c>
      <c r="D6" s="1"/>
      <c r="E6" s="1">
        <v>12</v>
      </c>
    </row>
    <row r="7" spans="2:10" x14ac:dyDescent="0.25">
      <c r="B7" s="4">
        <v>2011</v>
      </c>
      <c r="C7" s="1">
        <v>12</v>
      </c>
      <c r="D7" s="1"/>
      <c r="E7" s="1">
        <v>12</v>
      </c>
      <c r="H7">
        <v>2</v>
      </c>
    </row>
    <row r="8" spans="2:10" x14ac:dyDescent="0.25">
      <c r="B8" s="4">
        <v>2012</v>
      </c>
      <c r="C8" s="1">
        <v>12</v>
      </c>
      <c r="D8" s="1"/>
      <c r="E8" s="1">
        <v>12</v>
      </c>
      <c r="H8" s="1">
        <v>12</v>
      </c>
    </row>
    <row r="9" spans="2:10" x14ac:dyDescent="0.25">
      <c r="B9" s="4">
        <v>2013</v>
      </c>
      <c r="C9" s="1">
        <v>12</v>
      </c>
      <c r="D9" s="1"/>
      <c r="E9" s="1">
        <v>12</v>
      </c>
      <c r="H9" s="1">
        <v>12</v>
      </c>
    </row>
    <row r="10" spans="2:10" x14ac:dyDescent="0.25">
      <c r="B10" s="4">
        <v>2014</v>
      </c>
      <c r="C10" s="1">
        <v>12</v>
      </c>
      <c r="D10" s="1"/>
      <c r="E10" s="1">
        <v>12</v>
      </c>
      <c r="H10" s="1">
        <v>12</v>
      </c>
      <c r="J10" s="1"/>
    </row>
    <row r="11" spans="2:10" x14ac:dyDescent="0.25">
      <c r="B11" s="4">
        <v>2015</v>
      </c>
      <c r="C11" s="1">
        <v>12</v>
      </c>
      <c r="D11" s="1"/>
      <c r="E11" s="1">
        <v>12</v>
      </c>
      <c r="F11" s="2"/>
      <c r="G11" s="2"/>
      <c r="H11" s="1">
        <v>12</v>
      </c>
      <c r="J11" s="1"/>
    </row>
    <row r="12" spans="2:10" x14ac:dyDescent="0.25">
      <c r="B12" s="4">
        <v>2016</v>
      </c>
      <c r="C12" s="1">
        <v>12</v>
      </c>
      <c r="D12" s="1"/>
      <c r="E12" s="1">
        <v>12</v>
      </c>
      <c r="F12" s="2"/>
      <c r="G12" s="6">
        <v>6</v>
      </c>
      <c r="H12" s="1">
        <v>12</v>
      </c>
      <c r="J12" s="1"/>
    </row>
    <row r="13" spans="2:10" x14ac:dyDescent="0.25">
      <c r="B13" s="4">
        <v>2017</v>
      </c>
      <c r="C13" s="1">
        <v>12</v>
      </c>
      <c r="D13" s="1"/>
      <c r="E13" s="1">
        <v>12</v>
      </c>
      <c r="F13" s="2"/>
      <c r="G13" s="6">
        <v>12</v>
      </c>
      <c r="H13" s="1">
        <v>12</v>
      </c>
      <c r="J13" s="2"/>
    </row>
    <row r="14" spans="2:10" x14ac:dyDescent="0.25">
      <c r="B14" s="4">
        <v>2018</v>
      </c>
      <c r="C14" s="1">
        <v>12</v>
      </c>
      <c r="D14" s="1"/>
      <c r="E14" s="1">
        <v>12</v>
      </c>
      <c r="F14" s="2"/>
      <c r="G14" s="6">
        <v>12</v>
      </c>
      <c r="H14" s="1">
        <v>12</v>
      </c>
      <c r="I14" s="7">
        <v>12</v>
      </c>
      <c r="J14" s="2">
        <v>0</v>
      </c>
    </row>
    <row r="15" spans="2:10" x14ac:dyDescent="0.25">
      <c r="B15" s="4">
        <v>2019</v>
      </c>
      <c r="C15" s="1">
        <v>12</v>
      </c>
      <c r="D15" s="1"/>
      <c r="E15" s="1">
        <v>12</v>
      </c>
      <c r="F15" s="2"/>
      <c r="G15" s="6">
        <v>12</v>
      </c>
      <c r="H15" s="1">
        <v>12</v>
      </c>
      <c r="I15" s="7">
        <v>12</v>
      </c>
      <c r="J15" s="6">
        <v>12</v>
      </c>
    </row>
    <row r="16" spans="2:10" x14ac:dyDescent="0.25">
      <c r="B16" s="4">
        <v>2020</v>
      </c>
      <c r="C16" s="1">
        <v>12</v>
      </c>
      <c r="D16" s="1"/>
      <c r="E16" s="1">
        <v>12</v>
      </c>
      <c r="F16" s="2"/>
      <c r="G16" s="6">
        <v>12</v>
      </c>
      <c r="H16" s="1">
        <v>12</v>
      </c>
      <c r="I16" s="7">
        <v>12</v>
      </c>
      <c r="J16" s="6">
        <v>12</v>
      </c>
    </row>
    <row r="17" spans="2:11" x14ac:dyDescent="0.25">
      <c r="B17" s="4">
        <v>2021</v>
      </c>
      <c r="C17" s="1">
        <v>12</v>
      </c>
      <c r="D17" s="1"/>
      <c r="E17" s="1">
        <v>12</v>
      </c>
      <c r="F17" s="6"/>
      <c r="G17" s="6">
        <v>12</v>
      </c>
      <c r="H17" s="1">
        <v>12</v>
      </c>
      <c r="I17" s="7">
        <v>12</v>
      </c>
      <c r="J17" s="6">
        <v>12</v>
      </c>
      <c r="K17" s="2"/>
    </row>
    <row r="18" spans="2:11" x14ac:dyDescent="0.25">
      <c r="B18" s="4">
        <v>2022</v>
      </c>
      <c r="C18" s="1">
        <v>12</v>
      </c>
      <c r="D18" s="1"/>
      <c r="E18" s="1">
        <v>12</v>
      </c>
      <c r="F18" s="6">
        <v>12</v>
      </c>
      <c r="G18" s="6">
        <v>12</v>
      </c>
      <c r="H18" s="1">
        <v>12</v>
      </c>
      <c r="I18" s="7">
        <v>12</v>
      </c>
      <c r="J18" s="6">
        <v>12</v>
      </c>
      <c r="K18" s="2">
        <v>0</v>
      </c>
    </row>
    <row r="19" spans="2:11" x14ac:dyDescent="0.25">
      <c r="B19" s="4">
        <v>2023</v>
      </c>
      <c r="C19" s="1">
        <v>12</v>
      </c>
      <c r="D19" s="1"/>
      <c r="E19" s="1">
        <v>12</v>
      </c>
      <c r="F19" s="6">
        <v>12</v>
      </c>
      <c r="G19" s="6">
        <v>12</v>
      </c>
      <c r="H19" s="1">
        <v>12</v>
      </c>
      <c r="I19" s="7">
        <v>12</v>
      </c>
      <c r="J19" s="6">
        <v>12</v>
      </c>
      <c r="K19" s="5">
        <v>5</v>
      </c>
    </row>
    <row r="20" spans="2:11" x14ac:dyDescent="0.25">
      <c r="B20" s="4">
        <v>2024</v>
      </c>
      <c r="C20" s="1">
        <v>12</v>
      </c>
      <c r="D20" s="1"/>
      <c r="E20" s="1">
        <v>12</v>
      </c>
      <c r="F20" s="6">
        <v>12</v>
      </c>
      <c r="G20" s="6">
        <v>12</v>
      </c>
      <c r="H20" s="1">
        <v>12</v>
      </c>
      <c r="I20" s="7">
        <v>12</v>
      </c>
      <c r="J20" s="6">
        <v>12</v>
      </c>
      <c r="K20" s="5">
        <v>12</v>
      </c>
    </row>
    <row r="21" spans="2:11" x14ac:dyDescent="0.25">
      <c r="B21" s="4">
        <v>2025</v>
      </c>
      <c r="C21" s="1">
        <v>12</v>
      </c>
      <c r="D21" s="1">
        <f>SUM('excel - 2025-12-15T143346.611'!K26*5%)/12*215</f>
        <v>3225</v>
      </c>
      <c r="E21" s="1">
        <v>12</v>
      </c>
      <c r="F21" s="1">
        <v>12</v>
      </c>
      <c r="G21" s="2">
        <v>12</v>
      </c>
      <c r="H21" s="1">
        <v>12</v>
      </c>
      <c r="I21" s="1">
        <v>12</v>
      </c>
      <c r="J21" s="1">
        <v>12</v>
      </c>
      <c r="K21" s="1">
        <v>12</v>
      </c>
    </row>
    <row r="22" spans="2:11" x14ac:dyDescent="0.25">
      <c r="B22" s="4">
        <v>2026</v>
      </c>
      <c r="C22" s="1">
        <v>12</v>
      </c>
      <c r="D22" s="1"/>
      <c r="E22" s="1">
        <v>12</v>
      </c>
      <c r="F22" s="1">
        <v>12</v>
      </c>
      <c r="G22" s="2">
        <v>3</v>
      </c>
      <c r="H22" s="1">
        <v>12</v>
      </c>
      <c r="I22" s="1">
        <v>12</v>
      </c>
      <c r="J22" s="1">
        <v>12</v>
      </c>
      <c r="K22" s="1">
        <v>12</v>
      </c>
    </row>
    <row r="23" spans="2:11" x14ac:dyDescent="0.25">
      <c r="B23" s="4">
        <v>2027</v>
      </c>
      <c r="C23" s="1">
        <v>2</v>
      </c>
      <c r="E23" s="1">
        <v>12</v>
      </c>
      <c r="F23" s="1">
        <v>12</v>
      </c>
      <c r="H23" s="1">
        <v>12</v>
      </c>
      <c r="I23" s="1">
        <v>12</v>
      </c>
      <c r="J23" s="1">
        <v>12</v>
      </c>
      <c r="K23" s="1">
        <v>12</v>
      </c>
    </row>
    <row r="24" spans="2:11" x14ac:dyDescent="0.25">
      <c r="B24" s="3">
        <v>2028</v>
      </c>
      <c r="E24" s="1">
        <v>12</v>
      </c>
      <c r="F24" s="1">
        <v>12</v>
      </c>
      <c r="H24" s="1">
        <v>12</v>
      </c>
      <c r="I24" s="1"/>
      <c r="J24" s="1">
        <v>12</v>
      </c>
      <c r="K24" s="1">
        <v>12</v>
      </c>
    </row>
    <row r="25" spans="2:11" x14ac:dyDescent="0.25">
      <c r="B25" s="3">
        <v>2029</v>
      </c>
      <c r="E25" s="1">
        <v>12</v>
      </c>
      <c r="F25" s="1">
        <v>12</v>
      </c>
      <c r="H25" s="1">
        <v>12</v>
      </c>
      <c r="I25" s="1"/>
      <c r="J25" s="1">
        <v>12</v>
      </c>
      <c r="K25" s="1">
        <v>12</v>
      </c>
    </row>
    <row r="26" spans="2:11" x14ac:dyDescent="0.25">
      <c r="B26" s="3">
        <v>2030</v>
      </c>
      <c r="E26" s="1">
        <v>12</v>
      </c>
      <c r="F26" s="1">
        <v>12</v>
      </c>
      <c r="H26" s="1">
        <v>12</v>
      </c>
      <c r="I26" s="1"/>
      <c r="J26" s="1">
        <v>12</v>
      </c>
      <c r="K26" s="1">
        <v>12</v>
      </c>
    </row>
    <row r="27" spans="2:11" x14ac:dyDescent="0.25">
      <c r="B27">
        <v>2031</v>
      </c>
      <c r="E27" s="1">
        <v>12</v>
      </c>
      <c r="F27" s="1">
        <v>12</v>
      </c>
      <c r="H27" s="1">
        <v>10</v>
      </c>
      <c r="I27" s="1"/>
      <c r="J27" s="1">
        <v>12</v>
      </c>
      <c r="K27" s="1">
        <v>12</v>
      </c>
    </row>
    <row r="28" spans="2:11" x14ac:dyDescent="0.25">
      <c r="B28">
        <v>2032</v>
      </c>
      <c r="E28" s="1">
        <v>12</v>
      </c>
      <c r="F28" s="1"/>
      <c r="I28" s="1"/>
      <c r="J28" s="1">
        <v>12</v>
      </c>
      <c r="K28" s="1"/>
    </row>
    <row r="29" spans="2:11" x14ac:dyDescent="0.25">
      <c r="B29">
        <v>2033</v>
      </c>
      <c r="E29" s="1">
        <v>12</v>
      </c>
      <c r="I29" s="1"/>
      <c r="J29" s="1">
        <v>12</v>
      </c>
      <c r="K29" s="1"/>
    </row>
    <row r="30" spans="2:11" x14ac:dyDescent="0.25">
      <c r="B30">
        <v>2034</v>
      </c>
      <c r="E30" s="1">
        <v>12</v>
      </c>
      <c r="I30" s="1"/>
      <c r="J30" s="1">
        <v>12</v>
      </c>
    </row>
    <row r="31" spans="2:11" x14ac:dyDescent="0.25">
      <c r="B31">
        <v>2035</v>
      </c>
      <c r="E31" s="1">
        <v>12</v>
      </c>
      <c r="I31" s="1"/>
      <c r="J31" s="1">
        <v>12</v>
      </c>
    </row>
    <row r="32" spans="2:11" x14ac:dyDescent="0.25">
      <c r="B32">
        <v>2036</v>
      </c>
      <c r="E32" s="1">
        <v>12</v>
      </c>
      <c r="I32" s="1"/>
      <c r="J32" s="1">
        <v>12</v>
      </c>
    </row>
    <row r="33" spans="2:10" x14ac:dyDescent="0.25">
      <c r="B33">
        <v>2037</v>
      </c>
      <c r="E33" s="1">
        <v>12</v>
      </c>
      <c r="I33" s="1"/>
      <c r="J33" s="1">
        <v>12</v>
      </c>
    </row>
    <row r="34" spans="2:10" x14ac:dyDescent="0.25">
      <c r="B34">
        <v>2038</v>
      </c>
      <c r="E34" s="1">
        <v>12</v>
      </c>
      <c r="I34" s="1"/>
      <c r="J34" s="1">
        <v>12</v>
      </c>
    </row>
    <row r="35" spans="2:10" x14ac:dyDescent="0.25">
      <c r="B35">
        <v>2039</v>
      </c>
      <c r="E35" s="1">
        <v>12</v>
      </c>
    </row>
    <row r="36" spans="2:10" x14ac:dyDescent="0.25">
      <c r="B36">
        <v>2040</v>
      </c>
      <c r="E36" s="1">
        <v>12</v>
      </c>
    </row>
    <row r="37" spans="2:10" x14ac:dyDescent="0.25">
      <c r="B37">
        <v>2041</v>
      </c>
      <c r="E37" s="1">
        <v>12</v>
      </c>
    </row>
    <row r="38" spans="2:10" x14ac:dyDescent="0.25">
      <c r="B38">
        <v>2042</v>
      </c>
      <c r="E38" s="1">
        <v>12</v>
      </c>
    </row>
    <row r="39" spans="2:10" x14ac:dyDescent="0.25">
      <c r="B39">
        <v>2043</v>
      </c>
      <c r="E39" s="1">
        <v>12</v>
      </c>
    </row>
    <row r="40" spans="2:10" x14ac:dyDescent="0.25">
      <c r="B40">
        <v>2044</v>
      </c>
      <c r="E40" s="1">
        <v>12</v>
      </c>
    </row>
    <row r="41" spans="2:10" x14ac:dyDescent="0.25">
      <c r="B41">
        <v>2045</v>
      </c>
      <c r="E41" s="1">
        <v>12</v>
      </c>
    </row>
    <row r="42" spans="2:10" x14ac:dyDescent="0.25">
      <c r="B42">
        <v>2046</v>
      </c>
      <c r="E42" s="1">
        <v>12</v>
      </c>
    </row>
    <row r="43" spans="2:10" x14ac:dyDescent="0.25">
      <c r="B43">
        <v>2047</v>
      </c>
      <c r="E43" s="1">
        <v>12</v>
      </c>
    </row>
    <row r="44" spans="2:10" x14ac:dyDescent="0.25">
      <c r="B44">
        <v>2048</v>
      </c>
      <c r="E44" s="1">
        <v>12</v>
      </c>
    </row>
    <row r="45" spans="2:10" x14ac:dyDescent="0.25">
      <c r="B45">
        <v>2049</v>
      </c>
      <c r="E45" s="1">
        <v>12</v>
      </c>
    </row>
    <row r="46" spans="2:10" x14ac:dyDescent="0.25">
      <c r="B46">
        <v>2050</v>
      </c>
      <c r="E46" s="1">
        <v>12</v>
      </c>
    </row>
    <row r="47" spans="2:10" x14ac:dyDescent="0.25">
      <c r="B47">
        <v>2051</v>
      </c>
      <c r="E47" s="1">
        <v>12</v>
      </c>
    </row>
    <row r="48" spans="2:10" x14ac:dyDescent="0.25">
      <c r="B48">
        <v>2052</v>
      </c>
      <c r="E48" s="1">
        <v>12</v>
      </c>
    </row>
    <row r="49" spans="2:5" x14ac:dyDescent="0.25">
      <c r="B49">
        <v>2053</v>
      </c>
      <c r="E49" s="1">
        <v>12</v>
      </c>
    </row>
    <row r="50" spans="2:5" x14ac:dyDescent="0.25">
      <c r="B50">
        <v>2054</v>
      </c>
    </row>
    <row r="51" spans="2:5" x14ac:dyDescent="0.25">
      <c r="B51">
        <v>2055</v>
      </c>
    </row>
    <row r="52" spans="2:5" x14ac:dyDescent="0.25">
      <c r="B52">
        <v>2056</v>
      </c>
    </row>
    <row r="53" spans="2:5" x14ac:dyDescent="0.25">
      <c r="B53">
        <v>2057</v>
      </c>
    </row>
    <row r="54" spans="2:5" x14ac:dyDescent="0.25">
      <c r="B54">
        <v>2058</v>
      </c>
    </row>
    <row r="55" spans="2:5" x14ac:dyDescent="0.25">
      <c r="B55">
        <v>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excel - 2025-12-15T143346.611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USUARIO</cp:lastModifiedBy>
  <cp:lastPrinted>2025-12-23T22:14:32Z</cp:lastPrinted>
  <dcterms:created xsi:type="dcterms:W3CDTF">2025-12-15T21:32:12Z</dcterms:created>
  <dcterms:modified xsi:type="dcterms:W3CDTF">2025-12-26T22:20:34Z</dcterms:modified>
</cp:coreProperties>
</file>